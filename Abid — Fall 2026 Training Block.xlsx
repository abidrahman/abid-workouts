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 sheetId="1" state="visible" r:id="rId1"/>
    <sheet xmlns:r="http://schemas.openxmlformats.org/officeDocument/2006/relationships" name="Week Summary" sheetId="2" state="visible" r:id="rId2"/>
    <sheet xmlns:r="http://schemas.openxmlformats.org/officeDocument/2006/relationships" name="Swim" sheetId="3" state="visible" r:id="rId3"/>
    <sheet xmlns:r="http://schemas.openxmlformats.org/officeDocument/2006/relationships" name="Drills" sheetId="4" state="visible" r:id="rId4"/>
    <sheet xmlns:r="http://schemas.openxmlformats.org/officeDocument/2006/relationships" name="Bike" sheetId="5" state="visible" r:id="rId5"/>
    <sheet xmlns:r="http://schemas.openxmlformats.org/officeDocument/2006/relationships" name="Run" sheetId="6" state="visible" r:id="rId6"/>
    <sheet xmlns:r="http://schemas.openxmlformats.org/officeDocument/2006/relationships" name="Strength" sheetId="7" state="visible" r:id="rId7"/>
    <sheet xmlns:r="http://schemas.openxmlformats.org/officeDocument/2006/relationships" name="Reference" sheetId="8" state="visible" r:id="rId8"/>
  </sheets>
  <definedNames>
    <definedName name="_xlnm._FilterDatabase" localSheetId="0" hidden="1">'Log'!$A$4:$P$209</definedName>
  </definedNames>
  <calcPr calcId="124519" fullCalcOnLoad="1"/>
</workbook>
</file>

<file path=xl/styles.xml><?xml version="1.0" encoding="utf-8"?>
<styleSheet xmlns="http://schemas.openxmlformats.org/spreadsheetml/2006/main">
  <numFmts count="10">
    <numFmt numFmtId="164" formatCode="yyyy-mm-dd"/>
    <numFmt numFmtId="165" formatCode="#,##0;-;-"/>
    <numFmt numFmtId="166" formatCode="0.0;-;-"/>
    <numFmt numFmtId="167" formatCode="#,##0;(#,##0);-"/>
    <numFmt numFmtId="168" formatCode="0.0;(0.0);-"/>
    <numFmt numFmtId="169" formatCode="0.0%"/>
    <numFmt numFmtId="170" formatCode="0.0"/>
    <numFmt numFmtId="171" formatCode="0&quot; W&quot;"/>
    <numFmt numFmtId="172" formatCode="0.00&quot; W/kg&quot;"/>
    <numFmt numFmtId="173" formatCode="0.0&quot; km&quot;;-;-"/>
  </numFmts>
  <fonts count="8">
    <font>
      <name val="Calibri"/>
      <family val="2"/>
      <color theme="1"/>
      <sz val="11"/>
      <scheme val="minor"/>
    </font>
    <font>
      <name val="Arial"/>
      <b val="1"/>
      <color rgb="001F3A2E"/>
      <sz val="14"/>
    </font>
    <font>
      <name val="Arial"/>
      <i val="1"/>
      <color rgb="005A6B60"/>
      <sz val="9"/>
    </font>
    <font>
      <name val="Arial"/>
      <b val="1"/>
      <color rgb="00FFFFFF"/>
      <sz val="10"/>
    </font>
    <font>
      <name val="Arial"/>
      <color rgb="00000000"/>
      <sz val="10"/>
    </font>
    <font>
      <name val="Arial"/>
      <color rgb="000000FF"/>
      <sz val="10"/>
    </font>
    <font>
      <name val="Arial"/>
      <color rgb="00008000"/>
      <sz val="10"/>
    </font>
    <font>
      <name val="Arial"/>
      <b val="1"/>
      <color rgb="001F3A2E"/>
      <sz val="10"/>
    </font>
  </fonts>
  <fills count="10">
    <fill>
      <patternFill/>
    </fill>
    <fill>
      <patternFill patternType="gray125"/>
    </fill>
    <fill>
      <patternFill patternType="solid">
        <fgColor rgb="002F6B4F"/>
      </patternFill>
    </fill>
    <fill>
      <patternFill patternType="solid">
        <fgColor rgb="00DCEBF7"/>
      </patternFill>
    </fill>
    <fill>
      <patternFill patternType="solid">
        <fgColor rgb="00FFFDF0"/>
      </patternFill>
    </fill>
    <fill>
      <patternFill patternType="solid">
        <fgColor rgb="00FBEBD6"/>
      </patternFill>
    </fill>
    <fill>
      <patternFill patternType="solid">
        <fgColor rgb="00F7DEDC"/>
      </patternFill>
    </fill>
    <fill>
      <patternFill patternType="solid">
        <fgColor rgb="00E6E0F2"/>
      </patternFill>
    </fill>
    <fill>
      <patternFill patternType="solid">
        <fgColor rgb="00E4EDE7"/>
      </patternFill>
    </fill>
    <fill>
      <patternFill patternType="solid">
        <fgColor rgb="00FFFF00"/>
      </patternFill>
    </fill>
  </fills>
  <borders count="2">
    <border>
      <left/>
      <right/>
      <top/>
      <bottom/>
      <diagonal/>
    </border>
    <border>
      <left style="thin">
        <color rgb="00C9D6CD"/>
      </left>
      <right style="thin">
        <color rgb="00C9D6CD"/>
      </right>
      <top style="thin">
        <color rgb="00C9D6CD"/>
      </top>
      <bottom style="thin">
        <color rgb="00C9D6CD"/>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164" fontId="4" fillId="0" borderId="1" applyAlignment="1" pivotButton="0" quotePrefix="0" xfId="0">
      <alignment vertical="top"/>
    </xf>
    <xf numFmtId="0" fontId="4" fillId="0" borderId="1" applyAlignment="1" pivotButton="0" quotePrefix="0" xfId="0">
      <alignment vertical="top"/>
    </xf>
    <xf numFmtId="0" fontId="4" fillId="3" borderId="1" applyAlignment="1" pivotButton="0" quotePrefix="0" xfId="0">
      <alignment vertical="top"/>
    </xf>
    <xf numFmtId="0" fontId="4" fillId="0" borderId="1" applyAlignment="1" pivotButton="0" quotePrefix="0" xfId="0">
      <alignment vertical="top" wrapText="1"/>
    </xf>
    <xf numFmtId="165" fontId="4" fillId="0" borderId="1" applyAlignment="1" pivotButton="0" quotePrefix="0" xfId="0">
      <alignment vertical="top"/>
    </xf>
    <xf numFmtId="166" fontId="4" fillId="0" borderId="1" applyAlignment="1" pivotButton="0" quotePrefix="0" xfId="0">
      <alignment vertical="top"/>
    </xf>
    <xf numFmtId="0" fontId="5" fillId="4" borderId="1" applyAlignment="1" pivotButton="0" quotePrefix="0" xfId="0">
      <alignment vertical="top"/>
    </xf>
    <xf numFmtId="165" fontId="5" fillId="4" borderId="1" applyAlignment="1" pivotButton="0" quotePrefix="0" xfId="0">
      <alignment vertical="top"/>
    </xf>
    <xf numFmtId="166" fontId="5" fillId="4" borderId="1" applyAlignment="1" pivotButton="0" quotePrefix="0" xfId="0">
      <alignment vertical="top"/>
    </xf>
    <xf numFmtId="0" fontId="5" fillId="4" borderId="1" applyAlignment="1" pivotButton="0" quotePrefix="0" xfId="0">
      <alignment vertical="top" wrapText="1"/>
    </xf>
    <xf numFmtId="0" fontId="4"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xf numFmtId="167" fontId="6" fillId="0" borderId="1" applyAlignment="1" pivotButton="0" quotePrefix="0" xfId="0">
      <alignment vertical="top"/>
    </xf>
    <xf numFmtId="167" fontId="4" fillId="0" borderId="1" applyAlignment="1" pivotButton="0" quotePrefix="0" xfId="0">
      <alignment vertical="top"/>
    </xf>
    <xf numFmtId="168" fontId="6" fillId="0" borderId="1" applyAlignment="1" pivotButton="0" quotePrefix="0" xfId="0">
      <alignment vertical="top"/>
    </xf>
    <xf numFmtId="168" fontId="4" fillId="0" borderId="1" applyAlignment="1" pivotButton="0" quotePrefix="0" xfId="0">
      <alignment vertical="top"/>
    </xf>
    <xf numFmtId="0" fontId="6" fillId="0" borderId="1" applyAlignment="1" pivotButton="0" quotePrefix="0" xfId="0">
      <alignment vertical="top"/>
    </xf>
    <xf numFmtId="169" fontId="4" fillId="0" borderId="1" applyAlignment="1" pivotButton="0" quotePrefix="0" xfId="0">
      <alignment vertical="top"/>
    </xf>
    <xf numFmtId="0" fontId="7" fillId="8" borderId="1" pivotButton="0" quotePrefix="0" xfId="0"/>
    <xf numFmtId="0" fontId="0" fillId="8" borderId="1" pivotButton="0" quotePrefix="0" xfId="0"/>
    <xf numFmtId="167" fontId="7" fillId="8" borderId="1" pivotButton="0" quotePrefix="0" xfId="0"/>
    <xf numFmtId="168" fontId="7" fillId="8" borderId="1" pivotButton="0" quotePrefix="0" xfId="0"/>
    <xf numFmtId="169" fontId="7" fillId="8" borderId="1" pivotButton="0" quotePrefix="0" xfId="0"/>
    <xf numFmtId="0" fontId="7" fillId="0" borderId="0" pivotButton="0" quotePrefix="0" xfId="0"/>
    <xf numFmtId="0" fontId="5" fillId="0" borderId="1" pivotButton="0" quotePrefix="0" xfId="0"/>
    <xf numFmtId="45" fontId="5" fillId="4" borderId="1" pivotButton="0" quotePrefix="0" xfId="0"/>
    <xf numFmtId="170" fontId="4" fillId="0" borderId="1" pivotButton="0" quotePrefix="0" xfId="0"/>
    <xf numFmtId="0" fontId="4" fillId="0" borderId="1" pivotButton="0" quotePrefix="0" xfId="0"/>
    <xf numFmtId="45" fontId="5" fillId="9" borderId="1" pivotButton="0" quotePrefix="0" xfId="0"/>
    <xf numFmtId="0" fontId="5" fillId="9" borderId="1" pivotButton="0" quotePrefix="0" xfId="0"/>
    <xf numFmtId="0" fontId="2" fillId="0" borderId="0" applyAlignment="1" pivotButton="0" quotePrefix="0" xfId="0">
      <alignment vertical="top" wrapText="1"/>
    </xf>
    <xf numFmtId="170" fontId="5" fillId="9" borderId="1" pivotButton="0" quotePrefix="0" xfId="0"/>
    <xf numFmtId="1" fontId="5" fillId="4" borderId="1" pivotButton="0" quotePrefix="0" xfId="0"/>
    <xf numFmtId="171" fontId="4" fillId="0" borderId="1" pivotButton="0" quotePrefix="0" xfId="0"/>
    <xf numFmtId="172" fontId="4" fillId="0" borderId="1" pivotButton="0" quotePrefix="0" xfId="0"/>
    <xf numFmtId="0" fontId="0" fillId="0" borderId="1" applyAlignment="1" pivotButton="0" quotePrefix="0" xfId="0">
      <alignment vertical="top" wrapText="1"/>
    </xf>
    <xf numFmtId="1" fontId="5" fillId="9" borderId="1" pivotButton="0" quotePrefix="0" xfId="0"/>
    <xf numFmtId="171" fontId="4" fillId="8" borderId="1" pivotButton="0" quotePrefix="0" xfId="0"/>
    <xf numFmtId="173" fontId="6" fillId="0" borderId="1" applyAlignment="1" pivotButton="0" quotePrefix="0" xfId="0">
      <alignment vertical="top"/>
    </xf>
    <xf numFmtId="0" fontId="5" fillId="4" borderId="1" pivotButton="0" quotePrefix="0" xfId="0"/>
  </cellXfs>
  <cellStyles count="1">
    <cellStyle name="Normal" xfId="0" builtinId="0" hidden="0"/>
  </cellStyles>
  <dxfs count="3">
    <dxf>
      <fill>
        <patternFill patternType="solid">
          <fgColor rgb="00EAF5EC"/>
        </patternFill>
      </fill>
    </dxf>
    <dxf>
      <fill>
        <patternFill patternType="solid">
          <fgColor rgb="00F7D6D3"/>
        </patternFill>
      </fill>
    </dxf>
    <dxf>
      <fill>
        <patternFill patternType="solid">
          <fgColor rgb="00D6EDD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5" customWidth="1" min="2" max="2"/>
    <col width="4" customWidth="1" min="3" max="3"/>
    <col width="10" customWidth="1" min="4" max="4"/>
    <col width="10" customWidth="1" min="5" max="5"/>
    <col width="34" customWidth="1" min="6" max="6"/>
    <col width="20" customWidth="1" min="7" max="7"/>
    <col width="8" customWidth="1" min="8" max="8"/>
    <col width="7" customWidth="1" min="9" max="9"/>
    <col width="7" customWidth="1" min="10" max="10"/>
    <col width="8" customWidth="1" min="11" max="11"/>
    <col width="7" customWidth="1" min="12" max="12"/>
    <col width="7" customWidth="1" min="13" max="13"/>
    <col width="5" customWidth="1" min="14" max="14"/>
    <col width="30" customWidth="1" min="15" max="15"/>
    <col width="62" customWidth="1" min="16" max="16"/>
  </cols>
  <sheetData>
    <row r="1">
      <c r="A1" s="1" t="inlineStr">
        <is>
          <t>Fall 2026 base block — daily log</t>
        </is>
      </c>
    </row>
    <row r="2">
      <c r="A2" s="2" t="inlineStr">
        <is>
          <t>Blue = type here. Black = formula. Only edit the Done / Actual / RPE / How it felt columns.</t>
        </is>
      </c>
    </row>
    <row r="4" ht="28" customHeight="1">
      <c r="A4" s="3" t="inlineStr">
        <is>
          <t>Date</t>
        </is>
      </c>
      <c r="B4" s="3" t="inlineStr">
        <is>
          <t>Day</t>
        </is>
      </c>
      <c r="C4" s="3" t="inlineStr">
        <is>
          <t>Wk</t>
        </is>
      </c>
      <c r="D4" s="3" t="inlineStr">
        <is>
          <t>Phase</t>
        </is>
      </c>
      <c r="E4" s="3" t="inlineStr">
        <is>
          <t>Category</t>
        </is>
      </c>
      <c r="F4" s="3" t="inlineStr">
        <is>
          <t>Session</t>
        </is>
      </c>
      <c r="G4" s="3" t="inlineStr">
        <is>
          <t>Planned</t>
        </is>
      </c>
      <c r="H4" s="3" t="inlineStr">
        <is>
          <t>Plan yd</t>
        </is>
      </c>
      <c r="I4" s="3" t="inlineStr">
        <is>
          <t>Plan km</t>
        </is>
      </c>
      <c r="J4" s="3" t="inlineStr">
        <is>
          <t>Done</t>
        </is>
      </c>
      <c r="K4" s="3" t="inlineStr">
        <is>
          <t>Act yd</t>
        </is>
      </c>
      <c r="L4" s="3" t="inlineStr">
        <is>
          <t>Act km</t>
        </is>
      </c>
      <c r="M4" s="3" t="inlineStr">
        <is>
          <t>Act min</t>
        </is>
      </c>
      <c r="N4" s="3" t="inlineStr">
        <is>
          <t>RPE</t>
        </is>
      </c>
      <c r="O4" s="3" t="inlineStr">
        <is>
          <t>How it felt</t>
        </is>
      </c>
      <c r="P4" s="3" t="inlineStr">
        <is>
          <t>What the session is</t>
        </is>
      </c>
    </row>
    <row r="5">
      <c r="A5" s="4" t="inlineStr">
        <is>
          <t>2026-09-21</t>
        </is>
      </c>
      <c r="B5" s="5" t="inlineStr">
        <is>
          <t>Mon</t>
        </is>
      </c>
      <c r="C5" s="5" t="n">
        <v>1</v>
      </c>
      <c r="D5" s="5" t="inlineStr">
        <is>
          <t>reset</t>
        </is>
      </c>
      <c r="E5" s="6" t="inlineStr">
        <is>
          <t>swim</t>
        </is>
      </c>
      <c r="F5" s="7" t="inlineStr">
        <is>
          <t>Swim — CSS test (400 + 200 TT)</t>
        </is>
      </c>
      <c r="G5" s="5" t="inlineStr">
        <is>
          <t>1,500 yd · 33–44 min</t>
        </is>
      </c>
      <c r="H5" s="8" t="n">
        <v>1500</v>
      </c>
      <c r="I5" s="9" t="n"/>
      <c r="J5" s="10" t="n"/>
      <c r="K5" s="11" t="n"/>
      <c r="L5" s="12" t="n"/>
      <c r="M5" s="10" t="n"/>
      <c r="N5" s="10" t="n"/>
      <c r="O5" s="13" t="n"/>
      <c r="P5" s="7" t="inlineStr">
        <is>
          <t>Warm-up 400 (200 free, 4 × 50 drill). Build 4 × 50. Main: 400 yd all-out for time, 5 min full rest, then 200 yd all-out for time. Cool-down 300 easy. CSS seconds per 100 yd = (T400 − T200) ÷ 2. Write both times down — every send-off in this block comes from this number. Result, Sep 21: 7:06 and 3:20, giving CSS 1:53/100 yd.</t>
        </is>
      </c>
    </row>
    <row r="6">
      <c r="A6" s="4" t="inlineStr">
        <is>
          <t>2026-09-21</t>
        </is>
      </c>
      <c r="B6" s="5" t="inlineStr">
        <is>
          <t>Mon</t>
        </is>
      </c>
      <c r="C6" s="5" t="n">
        <v>1</v>
      </c>
      <c r="D6" s="5" t="inlineStr">
        <is>
          <t>reset</t>
        </is>
      </c>
      <c r="E6" s="14" t="inlineStr">
        <is>
          <t>strength</t>
        </is>
      </c>
      <c r="F6" s="7" t="inlineStr">
        <is>
          <t>Strength A — RDL + posterior chain</t>
        </is>
      </c>
      <c r="G6" s="5" t="inlineStr">
        <is>
          <t>45–55 min</t>
        </is>
      </c>
      <c r="H6" s="8" t="n"/>
      <c r="I6" s="9" t="n"/>
      <c r="J6" s="10" t="n"/>
      <c r="K6" s="11" t="n"/>
      <c r="L6" s="12" t="n"/>
      <c r="M6" s="10" t="n"/>
      <c r="N6" s="10" t="n"/>
      <c r="O6" s="13" t="n"/>
      <c r="P6" s="7" t="inlineStr">
        <is>
          <t>First session back. Leave two reps in reserve on everything — this is a re-entry week, not a test.</t>
        </is>
      </c>
    </row>
    <row r="7">
      <c r="A7" s="4" t="inlineStr">
        <is>
          <t>2026-09-22</t>
        </is>
      </c>
      <c r="B7" s="5" t="inlineStr">
        <is>
          <t>Tue</t>
        </is>
      </c>
      <c r="C7" s="5" t="n">
        <v>1</v>
      </c>
      <c r="D7" s="5" t="inlineStr">
        <is>
          <t>reset</t>
        </is>
      </c>
      <c r="E7" s="15" t="inlineStr">
        <is>
          <t>run</t>
        </is>
      </c>
      <c r="F7" s="7" t="inlineStr">
        <is>
          <t>Easy run — 5 km</t>
        </is>
      </c>
      <c r="G7" s="5" t="inlineStr">
        <is>
          <t>30–35 min</t>
        </is>
      </c>
      <c r="H7" s="8" t="n"/>
      <c r="I7" s="9" t="n">
        <v>5</v>
      </c>
      <c r="J7" s="10" t="n"/>
      <c r="K7" s="11" t="n"/>
      <c r="L7" s="12" t="n"/>
      <c r="M7" s="10" t="n"/>
      <c r="N7" s="10" t="n"/>
      <c r="O7" s="13" t="n"/>
      <c r="P7" s="7" t="inlineStr">
        <is>
          <t>Track or soft trail, nothing paved. 140–152 bpm, cadence 175–180. This is the only run this week; resist adding another.</t>
        </is>
      </c>
    </row>
    <row r="8">
      <c r="A8" s="4" t="inlineStr">
        <is>
          <t>2026-09-22</t>
        </is>
      </c>
      <c r="B8" s="5" t="inlineStr">
        <is>
          <t>Tue</t>
        </is>
      </c>
      <c r="C8" s="5" t="n">
        <v>1</v>
      </c>
      <c r="D8" s="5" t="inlineStr">
        <is>
          <t>reset</t>
        </is>
      </c>
      <c r="E8" s="5" t="inlineStr">
        <is>
          <t>mobility</t>
        </is>
      </c>
      <c r="F8" s="7" t="inlineStr">
        <is>
          <t>Mobility + lower-leg prehab</t>
        </is>
      </c>
      <c r="G8" s="5" t="inlineStr">
        <is>
          <t>15 min</t>
        </is>
      </c>
      <c r="H8" s="8" t="n"/>
      <c r="I8" s="9" t="n"/>
      <c r="J8" s="10" t="n"/>
      <c r="K8" s="11" t="n"/>
      <c r="L8" s="12" t="n"/>
      <c r="M8" s="10" t="n"/>
      <c r="N8" s="10" t="n"/>
      <c r="O8" s="13" t="n"/>
      <c r="P8" s="7" t="inlineStr">
        <is>
          <t>Ankle dorsiflexion (knee-to-wall), calf and soleus stretch, hip flexors, thoracic rotation, and 3 × 20 tibialis raises. Ten minutes of this beats an hour once a month.</t>
        </is>
      </c>
    </row>
    <row r="9">
      <c r="A9" s="4" t="inlineStr">
        <is>
          <t>2026-09-23</t>
        </is>
      </c>
      <c r="B9" s="5" t="inlineStr">
        <is>
          <t>Wed</t>
        </is>
      </c>
      <c r="C9" s="5" t="n">
        <v>1</v>
      </c>
      <c r="D9" s="5" t="inlineStr">
        <is>
          <t>reset</t>
        </is>
      </c>
      <c r="E9" s="6" t="inlineStr">
        <is>
          <t>swim</t>
        </is>
      </c>
      <c r="F9" s="7" t="inlineStr">
        <is>
          <t>Swim — technique reset with new gear</t>
        </is>
      </c>
      <c r="G9" s="5" t="inlineStr">
        <is>
          <t>1,600 yd · 36–47 min</t>
        </is>
      </c>
      <c r="H9" s="8" t="n">
        <v>1600</v>
      </c>
      <c r="I9" s="9" t="n"/>
      <c r="J9" s="10" t="n"/>
      <c r="K9" s="11" t="n"/>
      <c r="L9" s="12" t="n"/>
      <c r="M9" s="10" t="n"/>
      <c r="N9" s="10" t="n"/>
      <c r="O9" s="13" t="n"/>
      <c r="P9" s="7" t="inlineStr">
        <is>
          <t>Warm-up 300. Drill 600 as 12 × 50 with fins — each drill twice: catch-up / 6-1-6 left / 6-1-6 right / fingertip drag / side kick / single-arm. Snorkel for the face-down drills only; take it off for 6-1-6 and side kick, because on your side it floods. Main 10 × 50 on 1:15 aerobic, every 4th one breathing to the left. Cool-down 200. Getting the snorkel to feel normal is the whole job today.</t>
        </is>
      </c>
    </row>
    <row r="10">
      <c r="A10" s="4" t="inlineStr">
        <is>
          <t>2026-09-23</t>
        </is>
      </c>
      <c r="B10" s="5" t="inlineStr">
        <is>
          <t>Wed</t>
        </is>
      </c>
      <c r="C10" s="5" t="n">
        <v>1</v>
      </c>
      <c r="D10" s="5" t="inlineStr">
        <is>
          <t>reset</t>
        </is>
      </c>
      <c r="E10" s="16" t="inlineStr">
        <is>
          <t>bike</t>
        </is>
      </c>
      <c r="F10" s="7" t="inlineStr">
        <is>
          <t>Spin bike — Z2 aerobic</t>
        </is>
      </c>
      <c r="G10" s="5" t="inlineStr">
        <is>
          <t>45 min</t>
        </is>
      </c>
      <c r="H10" s="8" t="n"/>
      <c r="I10" s="9" t="n"/>
      <c r="J10" s="10" t="n"/>
      <c r="K10" s="11" t="n"/>
      <c r="L10" s="12" t="n"/>
      <c r="M10" s="10" t="n"/>
      <c r="N10" s="10" t="n"/>
      <c r="O10" s="13" t="n"/>
      <c r="P10" s="7" t="inlineStr">
        <is>
          <t>Keiser M3i, 130–145 bpm, cadence 85–95. Note your average watts — you will want the comparison after next week's FTP test. Result, Sep 23: 130–150 W at 140–150 bpm, level 12. Against the FTP that test went on to produce, 186 W, that is 70–81% — so the top half of this ride was tempo, not Z2, which is exactly what the heart rate was saying. Fine once, but these rides exist to add cheap aerobic volume, and if they cost recovery they start competing with the swim and run work that actually matter. Z2 is 104–140 W.</t>
        </is>
      </c>
    </row>
    <row r="11">
      <c r="A11" s="4" t="inlineStr">
        <is>
          <t>2026-09-24</t>
        </is>
      </c>
      <c r="B11" s="5" t="inlineStr">
        <is>
          <t>Thu</t>
        </is>
      </c>
      <c r="C11" s="5" t="n">
        <v>1</v>
      </c>
      <c r="D11" s="5" t="inlineStr">
        <is>
          <t>reset</t>
        </is>
      </c>
      <c r="E11" s="5" t="inlineStr">
        <is>
          <t>cardio</t>
        </is>
      </c>
      <c r="F11" s="7" t="inlineStr">
        <is>
          <t>Optional shakeout walk or easy spin</t>
        </is>
      </c>
      <c r="G11" s="5" t="inlineStr">
        <is>
          <t>25 min</t>
        </is>
      </c>
      <c r="H11" s="8" t="n"/>
      <c r="I11" s="9" t="n"/>
      <c r="J11" s="10" t="n"/>
      <c r="K11" s="11" t="n"/>
      <c r="L11" s="12" t="n"/>
      <c r="M11" s="10" t="n"/>
      <c r="N11" s="10" t="n"/>
      <c r="O11" s="13" t="n"/>
      <c r="P11" s="7" t="inlineStr">
        <is>
          <t>Only if the legs feel good after Tuesday. Walking counts. Nothing that loads the shins.</t>
        </is>
      </c>
    </row>
    <row r="12">
      <c r="A12" s="4" t="inlineStr">
        <is>
          <t>2026-09-24</t>
        </is>
      </c>
      <c r="B12" s="5" t="inlineStr">
        <is>
          <t>Thu</t>
        </is>
      </c>
      <c r="C12" s="5" t="n">
        <v>1</v>
      </c>
      <c r="D12" s="5" t="inlineStr">
        <is>
          <t>reset</t>
        </is>
      </c>
      <c r="E12" s="5" t="inlineStr">
        <is>
          <t>mobility</t>
        </is>
      </c>
      <c r="F12" s="7" t="inlineStr">
        <is>
          <t>Mobility + lower-leg prehab</t>
        </is>
      </c>
      <c r="G12" s="5" t="inlineStr">
        <is>
          <t>20 min</t>
        </is>
      </c>
      <c r="H12" s="8" t="n"/>
      <c r="I12" s="9" t="n"/>
      <c r="J12" s="10" t="n"/>
      <c r="K12" s="11" t="n"/>
      <c r="L12" s="12" t="n"/>
      <c r="M12" s="10" t="n"/>
      <c r="N12" s="10" t="n"/>
      <c r="O12" s="13" t="n"/>
      <c r="P12" s="7" t="inlineStr">
        <is>
          <t>Longer mobility session: hips, ankles, calves, and thoracic spine. Add 3 × 45 s soleus wall sits.</t>
        </is>
      </c>
    </row>
    <row r="13">
      <c r="A13" s="4" t="inlineStr">
        <is>
          <t>2026-09-25</t>
        </is>
      </c>
      <c r="B13" s="5" t="inlineStr">
        <is>
          <t>Fri</t>
        </is>
      </c>
      <c r="C13" s="5" t="n">
        <v>1</v>
      </c>
      <c r="D13" s="5" t="inlineStr">
        <is>
          <t>reset</t>
        </is>
      </c>
      <c r="E13" s="6" t="inlineStr">
        <is>
          <t>swim</t>
        </is>
      </c>
      <c r="F13" s="7" t="inlineStr">
        <is>
          <t>Swim — long aerobic base</t>
        </is>
      </c>
      <c r="G13" s="5" t="inlineStr">
        <is>
          <t>2,100 yd · 47–62 min</t>
        </is>
      </c>
      <c r="H13" s="8" t="n">
        <v>2100</v>
      </c>
      <c r="I13" s="9" t="n"/>
      <c r="J13" s="10" t="n"/>
      <c r="K13" s="11" t="n"/>
      <c r="L13" s="12" t="n"/>
      <c r="M13" s="10" t="n"/>
      <c r="N13" s="10" t="n"/>
      <c r="O13" s="13" t="n"/>
      <c r="P13" s="7" t="inlineStr">
        <is>
          <t>Warm-up 300. Main: 1,000 continuous at genuine easy-aerobic (2:05–2:10/100). Then 6 × 100 on 2:30. Cool-down 200. Watch HR on the 1,000 — if it climbs more than ~15 bpm from start to finish, you went out too hard. That drift number is the benchmark we beat all block.</t>
        </is>
      </c>
    </row>
    <row r="14">
      <c r="A14" s="4" t="inlineStr">
        <is>
          <t>2026-09-26</t>
        </is>
      </c>
      <c r="B14" s="5" t="inlineStr">
        <is>
          <t>Sat</t>
        </is>
      </c>
      <c r="C14" s="5" t="n">
        <v>1</v>
      </c>
      <c r="D14" s="5" t="inlineStr">
        <is>
          <t>reset</t>
        </is>
      </c>
      <c r="E14" s="5" t="inlineStr">
        <is>
          <t>cardio</t>
        </is>
      </c>
      <c r="F14" s="7" t="inlineStr">
        <is>
          <t>Weekend aerobic — long ride or hike</t>
        </is>
      </c>
      <c r="G14" s="5" t="inlineStr">
        <is>
          <t>2–3 hr</t>
        </is>
      </c>
      <c r="H14" s="8" t="n"/>
      <c r="I14" s="9" t="n"/>
      <c r="J14" s="10" t="n"/>
      <c r="K14" s="11" t="n"/>
      <c r="L14" s="12" t="n"/>
      <c r="M14" s="10" t="n"/>
      <c r="N14" s="10" t="n"/>
      <c r="O14" s="13" t="n"/>
      <c r="P14" s="7" t="inlineStr">
        <is>
          <t>Your pick: 2–2.5 hr endurance ride or a 2–3 hr hike. Keep it genuinely aerobic; this is volume, not a workout.</t>
        </is>
      </c>
    </row>
    <row r="15">
      <c r="A15" s="4" t="inlineStr">
        <is>
          <t>2026-09-26</t>
        </is>
      </c>
      <c r="B15" s="5" t="inlineStr">
        <is>
          <t>Sat</t>
        </is>
      </c>
      <c r="C15" s="5" t="n">
        <v>1</v>
      </c>
      <c r="D15" s="5" t="inlineStr">
        <is>
          <t>reset</t>
        </is>
      </c>
      <c r="E15" s="6" t="inlineStr">
        <is>
          <t>swim</t>
        </is>
      </c>
      <c r="F15" s="7" t="inlineStr">
        <is>
          <t>Technique swim (short)</t>
        </is>
      </c>
      <c r="G15" s="5" t="inlineStr">
        <is>
          <t>1,000 yd · 22–29 min</t>
        </is>
      </c>
      <c r="H15" s="8" t="n">
        <v>1000</v>
      </c>
      <c r="I15" s="9" t="n"/>
      <c r="J15" s="10" t="n"/>
      <c r="K15" s="11" t="n"/>
      <c r="L15" s="12" t="n"/>
      <c r="M15" s="10" t="n"/>
      <c r="N15" s="10" t="n"/>
      <c r="O15" s="13" t="n"/>
      <c r="P15" s="7" t="inlineStr">
        <is>
          <t>About 1,000 yd total, all easy. No clock, no main set. Snorkel and fins for the first half — catch-up, fingertip drag and front scull, rotating through them — then easy 50s holding the feel. This session exists to raise frequency and keep the stroke fresh — leave the pool fresher than you arrived.</t>
        </is>
      </c>
    </row>
    <row r="16">
      <c r="A16" s="4" t="inlineStr">
        <is>
          <t>2026-09-27</t>
        </is>
      </c>
      <c r="B16" s="5" t="inlineStr">
        <is>
          <t>Sun</t>
        </is>
      </c>
      <c r="C16" s="5" t="n">
        <v>1</v>
      </c>
      <c r="D16" s="5" t="inlineStr">
        <is>
          <t>reset</t>
        </is>
      </c>
      <c r="E16" s="5" t="inlineStr">
        <is>
          <t>mobility</t>
        </is>
      </c>
      <c r="F16" s="7" t="inlineStr">
        <is>
          <t>Mobility + lower-leg prehab</t>
        </is>
      </c>
      <c r="G16" s="5" t="inlineStr">
        <is>
          <t>25 min</t>
        </is>
      </c>
      <c r="H16" s="8" t="n"/>
      <c r="I16" s="9" t="n"/>
      <c r="J16" s="10" t="n"/>
      <c r="K16" s="11" t="n"/>
      <c r="L16" s="12" t="n"/>
      <c r="M16" s="10" t="n"/>
      <c r="N16" s="10" t="n"/>
      <c r="O16" s="13" t="n"/>
      <c r="P16" s="7" t="inlineStr">
        <is>
          <t>Full mobility session plus foot intrinsics: short-foot holds, towel scrunches, and heel/toe walks. Ten minutes of this on Sundays is what keeps the anterior compartment quiet.</t>
        </is>
      </c>
    </row>
    <row r="17">
      <c r="A17" s="4" t="inlineStr">
        <is>
          <t>2026-09-27</t>
        </is>
      </c>
      <c r="B17" s="5" t="inlineStr">
        <is>
          <t>Sun</t>
        </is>
      </c>
      <c r="C17" s="5" t="n">
        <v>1</v>
      </c>
      <c r="D17" s="5" t="inlineStr">
        <is>
          <t>reset</t>
        </is>
      </c>
      <c r="E17" s="16" t="inlineStr">
        <is>
          <t>bike</t>
        </is>
      </c>
      <c r="F17" s="7" t="inlineStr">
        <is>
          <t>Easy spin (optional)</t>
        </is>
      </c>
      <c r="G17" s="5" t="inlineStr">
        <is>
          <t>40–60 min</t>
        </is>
      </c>
      <c r="H17" s="8" t="n"/>
      <c r="I17" s="9" t="n"/>
      <c r="J17" s="10" t="n"/>
      <c r="K17" s="11" t="n"/>
      <c r="L17" s="12" t="n"/>
      <c r="M17" s="10" t="n"/>
      <c r="N17" s="10" t="n"/>
      <c r="O17" s="13" t="n"/>
      <c r="P17" s="7" t="inlineStr">
        <is>
          <t>Recovery spin only if you want the extra aerobic time. Zone 1–2, no intensity.</t>
        </is>
      </c>
    </row>
    <row r="18">
      <c r="A18" s="4" t="inlineStr">
        <is>
          <t>2026-09-28</t>
        </is>
      </c>
      <c r="B18" s="5" t="inlineStr">
        <is>
          <t>Mon</t>
        </is>
      </c>
      <c r="C18" s="5" t="n">
        <v>2</v>
      </c>
      <c r="D18" s="5" t="inlineStr">
        <is>
          <t>reset</t>
        </is>
      </c>
      <c r="E18" s="6" t="inlineStr">
        <is>
          <t>swim</t>
        </is>
      </c>
      <c r="F18" s="7" t="inlineStr">
        <is>
          <t>Swim — threshold 10 × 100</t>
        </is>
      </c>
      <c r="G18" s="5" t="inlineStr">
        <is>
          <t>2,200 yd · 49–65 min</t>
        </is>
      </c>
      <c r="H18" s="8" t="n">
        <v>2200</v>
      </c>
      <c r="I18" s="9" t="n"/>
      <c r="J18" s="10" t="n"/>
      <c r="K18" s="11" t="n"/>
      <c r="L18" s="12" t="n"/>
      <c r="M18" s="10" t="n"/>
      <c r="N18" s="10" t="n"/>
      <c r="O18" s="13" t="n"/>
      <c r="P18" s="7" t="inlineStr">
        <is>
          <t>Warm-up 400. Drill 400 as 8 × 50, each drill twice: catch-up / 6-1-6 / fingertip drag / side kick. Fins throughout; snorkel off for 6-1-6 and side kick. Main: 10 × 100 at CSS on 2:15 (about 22 s rest). Then 4 × 50 breaststroke easy. Cool-down 200. If you cannot hold the last three, the send-off is too tight — add 5 s, do not slow the swimming down.</t>
        </is>
      </c>
    </row>
    <row r="19">
      <c r="A19" s="4" t="inlineStr">
        <is>
          <t>2026-09-28</t>
        </is>
      </c>
      <c r="B19" s="5" t="inlineStr">
        <is>
          <t>Mon</t>
        </is>
      </c>
      <c r="C19" s="5" t="n">
        <v>2</v>
      </c>
      <c r="D19" s="5" t="inlineStr">
        <is>
          <t>reset</t>
        </is>
      </c>
      <c r="E19" s="14" t="inlineStr">
        <is>
          <t>strength</t>
        </is>
      </c>
      <c r="F19" s="7" t="inlineStr">
        <is>
          <t>Strength A — RDL + posterior chain</t>
        </is>
      </c>
      <c r="G19" s="5" t="inlineStr">
        <is>
          <t>45–55 min</t>
        </is>
      </c>
      <c r="H19" s="8" t="n"/>
      <c r="I19" s="9" t="n"/>
      <c r="J19" s="10" t="n"/>
      <c r="K19" s="11" t="n"/>
      <c r="L19" s="12" t="n"/>
      <c r="M19" s="10" t="n"/>
      <c r="N19" s="10" t="n"/>
      <c r="O19" s="13" t="n"/>
      <c r="P19" s="7" t="inlineStr">
        <is>
          <t>Second time through. Add load to the RDL if last week's felt easy, but keep the 3 s eccentric honest.</t>
        </is>
      </c>
    </row>
    <row r="20">
      <c r="A20" s="4" t="inlineStr">
        <is>
          <t>2026-09-29</t>
        </is>
      </c>
      <c r="B20" s="5" t="inlineStr">
        <is>
          <t>Tue</t>
        </is>
      </c>
      <c r="C20" s="5" t="n">
        <v>2</v>
      </c>
      <c r="D20" s="5" t="inlineStr">
        <is>
          <t>reset</t>
        </is>
      </c>
      <c r="E20" s="15" t="inlineStr">
        <is>
          <t>run</t>
        </is>
      </c>
      <c r="F20" s="7" t="inlineStr">
        <is>
          <t>Easy run — 6 km + strides</t>
        </is>
      </c>
      <c r="G20" s="5" t="inlineStr">
        <is>
          <t>35–40 min</t>
        </is>
      </c>
      <c r="H20" s="8" t="n"/>
      <c r="I20" s="9" t="n">
        <v>6</v>
      </c>
      <c r="J20" s="10" t="n"/>
      <c r="K20" s="11" t="n"/>
      <c r="L20" s="12" t="n"/>
      <c r="M20" s="10" t="n"/>
      <c r="N20" s="10" t="n"/>
      <c r="O20" s="13" t="n"/>
      <c r="P20" s="7" t="inlineStr">
        <is>
          <t>Track or soft trail. Finish with 4 × 20 s strides on grass, full recovery between. Strides build tendon stiffness without adding volume — they are the safest speed you can do right now.</t>
        </is>
      </c>
    </row>
    <row r="21">
      <c r="A21" s="4" t="inlineStr">
        <is>
          <t>2026-09-29</t>
        </is>
      </c>
      <c r="B21" s="5" t="inlineStr">
        <is>
          <t>Tue</t>
        </is>
      </c>
      <c r="C21" s="5" t="n">
        <v>2</v>
      </c>
      <c r="D21" s="5" t="inlineStr">
        <is>
          <t>reset</t>
        </is>
      </c>
      <c r="E21" s="5" t="inlineStr">
        <is>
          <t>mobility</t>
        </is>
      </c>
      <c r="F21" s="7" t="inlineStr">
        <is>
          <t>Mobility + lower-leg prehab</t>
        </is>
      </c>
      <c r="G21" s="5" t="inlineStr">
        <is>
          <t>15 min</t>
        </is>
      </c>
      <c r="H21" s="8" t="n"/>
      <c r="I21" s="9" t="n"/>
      <c r="J21" s="10" t="n"/>
      <c r="K21" s="11" t="n"/>
      <c r="L21" s="12" t="n"/>
      <c r="M21" s="10" t="n"/>
      <c r="N21" s="10" t="n"/>
      <c r="O21" s="13" t="n"/>
      <c r="P21" s="7" t="inlineStr">
        <is>
          <t>Ankle dorsiflexion (knee-to-wall), calf and soleus stretch, hip flexors, thoracic rotation, and 3 × 20 tibialis raises. Ten minutes of this beats an hour once a month.</t>
        </is>
      </c>
    </row>
    <row r="22">
      <c r="A22" s="4" t="inlineStr">
        <is>
          <t>2026-09-30</t>
        </is>
      </c>
      <c r="B22" s="5" t="inlineStr">
        <is>
          <t>Wed</t>
        </is>
      </c>
      <c r="C22" s="5" t="n">
        <v>2</v>
      </c>
      <c r="D22" s="5" t="inlineStr">
        <is>
          <t>reset</t>
        </is>
      </c>
      <c r="E22" s="6" t="inlineStr">
        <is>
          <t>swim</t>
        </is>
      </c>
      <c r="F22" s="7" t="inlineStr">
        <is>
          <t>Swim — speed + bilateral breathing</t>
        </is>
      </c>
      <c r="G22" s="5" t="inlineStr">
        <is>
          <t>1,900 yd · 42–56 min</t>
        </is>
      </c>
      <c r="H22" s="8" t="n">
        <v>1900</v>
      </c>
      <c r="I22" s="9" t="n"/>
      <c r="J22" s="10" t="n"/>
      <c r="K22" s="11" t="n"/>
      <c r="L22" s="12" t="n"/>
      <c r="M22" s="10" t="n"/>
      <c r="N22" s="10" t="n"/>
      <c r="O22" s="13" t="n"/>
      <c r="P22" s="7" t="inlineStr">
        <is>
          <t>Warm-up 300. Drill 400 focused on breathing: 3/5/3 pattern, 6-1-6 both sides. Main 16 × 50 on 1:10, odd ones aerobic and even ones fast. Then 4 × 50 breaststroke working the pull-breathe-kick-glide timing. Cool-down 200.</t>
        </is>
      </c>
    </row>
    <row r="23">
      <c r="A23" s="4" t="inlineStr">
        <is>
          <t>2026-09-30</t>
        </is>
      </c>
      <c r="B23" s="5" t="inlineStr">
        <is>
          <t>Wed</t>
        </is>
      </c>
      <c r="C23" s="5" t="n">
        <v>2</v>
      </c>
      <c r="D23" s="5" t="inlineStr">
        <is>
          <t>reset</t>
        </is>
      </c>
      <c r="E23" s="16" t="inlineStr">
        <is>
          <t>bike</t>
        </is>
      </c>
      <c r="F23" s="7" t="inlineStr">
        <is>
          <t>Spin bike — 20 min FTP test</t>
        </is>
      </c>
      <c r="G23" s="5" t="inlineStr">
        <is>
          <t>50 min</t>
        </is>
      </c>
      <c r="H23" s="8" t="n"/>
      <c r="I23" s="9" t="n"/>
      <c r="J23" s="10" t="n"/>
      <c r="K23" s="11" t="n"/>
      <c r="L23" s="12" t="n"/>
      <c r="M23" s="10" t="n"/>
      <c r="N23" s="10" t="n"/>
      <c r="O23" s="13" t="n"/>
      <c r="P23" s="7" t="inlineStr">
        <is>
          <t>Keiser M3i. 15 min warm-up with 3 × 1 min builds, then 20 min all-out at an even effort, then 10 min easy. FTP ≈ 95% of your 20 min average watts. Use the same bike as Sep 23 so the comparison means something. Pacing is the whole test: go out too hard and you fade, and the number comes out low. Ignore the level — on a Keiser the level only sets resistance, and the same level gives very different watts at different cadences, so it is never a target. Result, run Oct 1: 205 W for 10 min, 195 W for 5, 180 W for the last 5, averaging 196 W, so FTP = 186 W and 2.56 W/kg. That is inside the 180–200 W predicted from the Sep 23 ride, so estimate and test agree. The 12% fade is a pacing signature rather than the nutrition and rest you suspected — those usually lower the whole curve or cause a late cliff, not a steady slide from minute ten — which means 186 W is, if anything, slightly conservative. Every bike target in this block now reads in watts off that number; it gets re-cut at the Week 8 retest. Note also that the session ran 94 min rather than the 50 prescribed, so the Thursday was a far bigger day than designed — fine once, worth not repeating on a test day.</t>
        </is>
      </c>
    </row>
    <row r="24">
      <c r="A24" s="4" t="inlineStr">
        <is>
          <t>2026-10-01</t>
        </is>
      </c>
      <c r="B24" s="5" t="inlineStr">
        <is>
          <t>Thu</t>
        </is>
      </c>
      <c r="C24" s="5" t="n">
        <v>2</v>
      </c>
      <c r="D24" s="5" t="inlineStr">
        <is>
          <t>reset</t>
        </is>
      </c>
      <c r="E24" s="14" t="inlineStr">
        <is>
          <t>strength</t>
        </is>
      </c>
      <c r="F24" s="7" t="inlineStr">
        <is>
          <t>Strength B — Bulgarian split squat + hips and core</t>
        </is>
      </c>
      <c r="G24" s="5" t="inlineStr">
        <is>
          <t>45–55 min</t>
        </is>
      </c>
      <c r="H24" s="8" t="n"/>
      <c r="I24" s="9" t="n"/>
      <c r="J24" s="10" t="n"/>
      <c r="K24" s="11" t="n"/>
      <c r="L24" s="12" t="n"/>
      <c r="M24" s="10" t="n"/>
      <c r="N24" s="10" t="n"/>
      <c r="O24" s="13" t="n"/>
      <c r="P24" s="7" t="inlineStr">
        <is>
          <t>First Strength B. Bulgarian split squats on the Smith machine — find a load where rep 8 is hard but clean. Copenhagen planks will humble you; start on the short lever (knee on bench).</t>
        </is>
      </c>
    </row>
    <row r="25">
      <c r="A25" s="4" t="inlineStr">
        <is>
          <t>2026-10-01</t>
        </is>
      </c>
      <c r="B25" s="5" t="inlineStr">
        <is>
          <t>Thu</t>
        </is>
      </c>
      <c r="C25" s="5" t="n">
        <v>2</v>
      </c>
      <c r="D25" s="5" t="inlineStr">
        <is>
          <t>reset</t>
        </is>
      </c>
      <c r="E25" s="5" t="inlineStr">
        <is>
          <t>mobility</t>
        </is>
      </c>
      <c r="F25" s="7" t="inlineStr">
        <is>
          <t>Mobility + lower-leg prehab</t>
        </is>
      </c>
      <c r="G25" s="5" t="inlineStr">
        <is>
          <t>15 min</t>
        </is>
      </c>
      <c r="H25" s="8" t="n"/>
      <c r="I25" s="9" t="n"/>
      <c r="J25" s="10" t="n"/>
      <c r="K25" s="11" t="n"/>
      <c r="L25" s="12" t="n"/>
      <c r="M25" s="10" t="n"/>
      <c r="N25" s="10" t="n"/>
      <c r="O25" s="13" t="n"/>
      <c r="P25" s="7" t="inlineStr">
        <is>
          <t>Ankle dorsiflexion (knee-to-wall), calf and soleus stretch, hip flexors, thoracic rotation, and 3 × 20 tibialis raises. Ten minutes of this beats an hour once a month.</t>
        </is>
      </c>
    </row>
    <row r="26">
      <c r="A26" s="4" t="inlineStr">
        <is>
          <t>2026-10-02</t>
        </is>
      </c>
      <c r="B26" s="5" t="inlineStr">
        <is>
          <t>Fri</t>
        </is>
      </c>
      <c r="C26" s="5" t="n">
        <v>2</v>
      </c>
      <c r="D26" s="5" t="inlineStr">
        <is>
          <t>reset</t>
        </is>
      </c>
      <c r="E26" s="6" t="inlineStr">
        <is>
          <t>swim</t>
        </is>
      </c>
      <c r="F26" s="7" t="inlineStr">
        <is>
          <t>Swim — long aerobic 1,200</t>
        </is>
      </c>
      <c r="G26" s="5" t="inlineStr">
        <is>
          <t>2,200 yd · 49–65 min</t>
        </is>
      </c>
      <c r="H26" s="8" t="n">
        <v>2200</v>
      </c>
      <c r="I26" s="9" t="n"/>
      <c r="J26" s="10" t="n"/>
      <c r="K26" s="11" t="n"/>
      <c r="L26" s="12" t="n"/>
      <c r="M26" s="10" t="n"/>
      <c r="N26" s="10" t="n"/>
      <c r="O26" s="13" t="n"/>
      <c r="P26" s="7" t="inlineStr">
        <is>
          <t>Warm-up 300. Main: 1,200 continuous aerobic, then 4 × 100 at CSS on 2:20. Cool-down 300. Result, Oct 2: 2,220 yd in 46:42 at 2:01/100 with an average heart rate of 125 — the top of the aerobic band at a genuinely calm heart rate, which is exactly what this session is for. The left-breathing instruction that was here is withdrawn. It asked you to breathe left for the first 50 of every 200 inside the continuous swim and the hips and feet sank immediately, which is a sequencing error in the plan rather than a failure on your part: you cannot learn a balance skill inside a 1,200 where the effort is constant and there is no chance to reset. What sinks you is almost certainly the lead arm pressing down to lever your face up, plus the kick stopping during the breath, plus air hunger from an incomplete exhale making you lift the head instead of rotating. All three are fixed in drills, not in continuous swimming. The left-side ladder now runs side kick, side kick + breathe, left-breathing single-arm, then easy 50s with rest — and continuous swims do not ask for it again until Week 10.</t>
        </is>
      </c>
    </row>
    <row r="27">
      <c r="A27" s="4" t="inlineStr">
        <is>
          <t>2026-10-02</t>
        </is>
      </c>
      <c r="B27" s="5" t="inlineStr">
        <is>
          <t>Fri</t>
        </is>
      </c>
      <c r="C27" s="5" t="n">
        <v>2</v>
      </c>
      <c r="D27" s="5" t="inlineStr">
        <is>
          <t>reset</t>
        </is>
      </c>
      <c r="E27" s="14" t="inlineStr">
        <is>
          <t>strength</t>
        </is>
      </c>
      <c r="F27" s="7" t="inlineStr">
        <is>
          <t>Chest and shoulders</t>
        </is>
      </c>
      <c r="G27" s="5" t="inlineStr">
        <is>
          <t>45–55 min</t>
        </is>
      </c>
      <c r="H27" s="8" t="n"/>
      <c r="I27" s="9" t="n"/>
      <c r="J27" s="10" t="n"/>
      <c r="K27" s="11" t="n"/>
      <c r="L27" s="12" t="n"/>
      <c r="M27" s="10" t="n"/>
      <c r="N27" s="10" t="n"/>
      <c r="O27" s="13" t="n"/>
      <c r="P27" s="7" t="inlineStr">
        <is>
          <t>First upper day of the block. Your shoulders do a lot of internal rotation in the water, so the point here is the opposite — press, then row and pull apart to balance it. Keep the overhead press light and strict; if the shoulder pinches at the top, switch to a landmine press.</t>
        </is>
      </c>
    </row>
    <row r="28">
      <c r="A28" s="4" t="inlineStr">
        <is>
          <t>2026-10-03</t>
        </is>
      </c>
      <c r="B28" s="5" t="inlineStr">
        <is>
          <t>Sat</t>
        </is>
      </c>
      <c r="C28" s="5" t="n">
        <v>2</v>
      </c>
      <c r="D28" s="5" t="inlineStr">
        <is>
          <t>reset</t>
        </is>
      </c>
      <c r="E28" s="5" t="inlineStr">
        <is>
          <t>cardio</t>
        </is>
      </c>
      <c r="F28" s="7" t="inlineStr">
        <is>
          <t>Stairmaster + 10 lb pack</t>
        </is>
      </c>
      <c r="G28" s="5" t="inlineStr">
        <is>
          <t>40 min</t>
        </is>
      </c>
      <c r="H28" s="8" t="n"/>
      <c r="I28" s="9" t="n"/>
      <c r="J28" s="10" t="n"/>
      <c r="K28" s="11" t="n"/>
      <c r="L28" s="12" t="n"/>
      <c r="M28" s="10" t="n"/>
      <c r="N28" s="10" t="n"/>
      <c r="O28" s="13" t="n"/>
      <c r="P28" s="7" t="inlineStr">
        <is>
          <t>Steady climb, 40 min, 10 lb in the pack. This is Rainier maintenance, not a workout — keep HR under 150 and let the legs do slow steady work.</t>
        </is>
      </c>
    </row>
    <row r="29">
      <c r="A29" s="4" t="inlineStr">
        <is>
          <t>2026-10-03</t>
        </is>
      </c>
      <c r="B29" s="5" t="inlineStr">
        <is>
          <t>Sat</t>
        </is>
      </c>
      <c r="C29" s="5" t="n">
        <v>2</v>
      </c>
      <c r="D29" s="5" t="inlineStr">
        <is>
          <t>reset</t>
        </is>
      </c>
      <c r="E29" s="6" t="inlineStr">
        <is>
          <t>swim</t>
        </is>
      </c>
      <c r="F29" s="7" t="inlineStr">
        <is>
          <t>Technique swim (short)</t>
        </is>
      </c>
      <c r="G29" s="5" t="inlineStr">
        <is>
          <t>900 yd · 20–26 min</t>
        </is>
      </c>
      <c r="H29" s="8" t="n">
        <v>900</v>
      </c>
      <c r="I29" s="9" t="n"/>
      <c r="J29" s="10" t="n"/>
      <c r="K29" s="11" t="n"/>
      <c r="L29" s="12" t="n"/>
      <c r="M29" s="10" t="n"/>
      <c r="N29" s="10" t="n"/>
      <c r="O29" s="13" t="n"/>
      <c r="P29" s="7" t="inlineStr">
        <is>
          <t>About 900 yd total, all easy. No clock, no main set. Snorkel and fins for the first half — catch-up, fingertip drag and front scull, rotating through them — then easy 50s holding the feel. This session exists to raise frequency and keep the stroke fresh — leave the pool fresher than you arrived.</t>
        </is>
      </c>
    </row>
    <row r="30">
      <c r="A30" s="4" t="inlineStr">
        <is>
          <t>2026-10-04</t>
        </is>
      </c>
      <c r="B30" s="5" t="inlineStr">
        <is>
          <t>Sun</t>
        </is>
      </c>
      <c r="C30" s="5" t="n">
        <v>2</v>
      </c>
      <c r="D30" s="5" t="inlineStr">
        <is>
          <t>reset</t>
        </is>
      </c>
      <c r="E30" s="16" t="inlineStr">
        <is>
          <t>bike</t>
        </is>
      </c>
      <c r="F30" s="7" t="inlineStr">
        <is>
          <t>Endurance ride — Z2</t>
        </is>
      </c>
      <c r="G30" s="5" t="inlineStr">
        <is>
          <t>60 min</t>
        </is>
      </c>
      <c r="H30" s="8" t="n"/>
      <c r="I30" s="9" t="n"/>
      <c r="J30" s="10" t="n"/>
      <c r="K30" s="11" t="n"/>
      <c r="L30" s="12" t="n"/>
      <c r="M30" s="10" t="n"/>
      <c r="N30" s="10" t="n"/>
      <c r="O30" s="13" t="n"/>
      <c r="P30" s="7" t="inlineStr">
        <is>
          <t>Outdoors while the weather allows. 130–145 bpm and 104–140 W, steady. First ride off the new FTP — the band is narrower than it looks, and Sep 23 proves it: 130–150 W felt easy and still spent half its time above Z2.</t>
        </is>
      </c>
    </row>
    <row r="31">
      <c r="A31" s="4" t="inlineStr">
        <is>
          <t>2026-10-04</t>
        </is>
      </c>
      <c r="B31" s="5" t="inlineStr">
        <is>
          <t>Sun</t>
        </is>
      </c>
      <c r="C31" s="5" t="n">
        <v>2</v>
      </c>
      <c r="D31" s="5" t="inlineStr">
        <is>
          <t>reset</t>
        </is>
      </c>
      <c r="E31" s="5" t="inlineStr">
        <is>
          <t>mobility</t>
        </is>
      </c>
      <c r="F31" s="7" t="inlineStr">
        <is>
          <t>Mobility + lower-leg prehab</t>
        </is>
      </c>
      <c r="G31" s="5" t="inlineStr">
        <is>
          <t>20 min</t>
        </is>
      </c>
      <c r="H31" s="8" t="n"/>
      <c r="I31" s="9" t="n"/>
      <c r="J31" s="10" t="n"/>
      <c r="K31" s="11" t="n"/>
      <c r="L31" s="12" t="n"/>
      <c r="M31" s="10" t="n"/>
      <c r="N31" s="10" t="n"/>
      <c r="O31" s="13" t="n"/>
      <c r="P31" s="7" t="inlineStr">
        <is>
          <t>Mobility plus foot intrinsics. Check knee-to-wall and log the number.</t>
        </is>
      </c>
    </row>
    <row r="32">
      <c r="A32" s="4" t="inlineStr">
        <is>
          <t>2026-10-05</t>
        </is>
      </c>
      <c r="B32" s="5" t="inlineStr">
        <is>
          <t>Mon</t>
        </is>
      </c>
      <c r="C32" s="5" t="n">
        <v>3</v>
      </c>
      <c r="D32" s="5" t="inlineStr">
        <is>
          <t>reset</t>
        </is>
      </c>
      <c r="E32" s="6" t="inlineStr">
        <is>
          <t>swim</t>
        </is>
      </c>
      <c r="F32" s="7" t="inlineStr">
        <is>
          <t>Swim — threshold 5 × 200</t>
        </is>
      </c>
      <c r="G32" s="5" t="inlineStr">
        <is>
          <t>2,100 yd · 47–62 min</t>
        </is>
      </c>
      <c r="H32" s="8" t="n">
        <v>2100</v>
      </c>
      <c r="I32" s="9" t="n"/>
      <c r="J32" s="10" t="n"/>
      <c r="K32" s="11" t="n"/>
      <c r="L32" s="12" t="n"/>
      <c r="M32" s="10" t="n"/>
      <c r="N32" s="10" t="n"/>
      <c r="O32" s="13" t="n"/>
      <c r="P32" s="7" t="inlineStr">
        <is>
          <t>Warm-up 400. Drill 400 as 8 × 50, each drill twice: single-arm / front kick / catch-up / 6-1-6. Fins throughout; snorkel off for 6-1-6. Main: 5 × 200 at CSS on 4:25 (about 39 s rest). Cool-down 300. Longer reps at the same pace — this is where the sprint-to-distance gap actually closes.</t>
        </is>
      </c>
    </row>
    <row r="33">
      <c r="A33" s="4" t="inlineStr">
        <is>
          <t>2026-10-05</t>
        </is>
      </c>
      <c r="B33" s="5" t="inlineStr">
        <is>
          <t>Mon</t>
        </is>
      </c>
      <c r="C33" s="5" t="n">
        <v>3</v>
      </c>
      <c r="D33" s="5" t="inlineStr">
        <is>
          <t>reset</t>
        </is>
      </c>
      <c r="E33" s="14" t="inlineStr">
        <is>
          <t>strength</t>
        </is>
      </c>
      <c r="F33" s="7" t="inlineStr">
        <is>
          <t>Strength A — RDL + posterior chain</t>
        </is>
      </c>
      <c r="G33" s="5" t="inlineStr">
        <is>
          <t>45–55 min</t>
        </is>
      </c>
      <c r="H33" s="8" t="n"/>
      <c r="I33" s="9" t="n"/>
      <c r="J33" s="10" t="n"/>
      <c r="K33" s="11" t="n"/>
      <c r="L33" s="12" t="n"/>
      <c r="M33" s="10" t="n"/>
      <c r="N33" s="10" t="n"/>
      <c r="O33" s="13" t="n"/>
      <c r="P33" s="7" t="inlineStr">
        <is>
          <t>Progress the RDL. Log the weight; you want to see this number move across the block.</t>
        </is>
      </c>
    </row>
    <row r="34">
      <c r="A34" s="4" t="inlineStr">
        <is>
          <t>2026-10-06</t>
        </is>
      </c>
      <c r="B34" s="5" t="inlineStr">
        <is>
          <t>Tue</t>
        </is>
      </c>
      <c r="C34" s="5" t="n">
        <v>3</v>
      </c>
      <c r="D34" s="5" t="inlineStr">
        <is>
          <t>reset</t>
        </is>
      </c>
      <c r="E34" s="15" t="inlineStr">
        <is>
          <t>run</t>
        </is>
      </c>
      <c r="F34" s="7" t="inlineStr">
        <is>
          <t>Easy run — 4 km</t>
        </is>
      </c>
      <c r="G34" s="5" t="inlineStr">
        <is>
          <t>28–32 min</t>
        </is>
      </c>
      <c r="H34" s="8" t="n"/>
      <c r="I34" s="9" t="n">
        <v>4</v>
      </c>
      <c r="J34" s="10" t="n"/>
      <c r="K34" s="11" t="n"/>
      <c r="L34" s="12" t="n"/>
      <c r="M34" s="10" t="n"/>
      <c r="N34" s="10" t="n"/>
      <c r="O34" s="13" t="n"/>
      <c r="P34" s="7" t="inlineStr">
        <is>
          <t>ORTHOTIC GATE: if they have not arrived, skip this and run only on Thursday. If they have, this is your first run in them — keep it short deliberately. New orthotics change how your foot loads, and calf soreness in the first two weeks is expected.</t>
        </is>
      </c>
    </row>
    <row r="35">
      <c r="A35" s="4" t="inlineStr">
        <is>
          <t>2026-10-06</t>
        </is>
      </c>
      <c r="B35" s="5" t="inlineStr">
        <is>
          <t>Tue</t>
        </is>
      </c>
      <c r="C35" s="5" t="n">
        <v>3</v>
      </c>
      <c r="D35" s="5" t="inlineStr">
        <is>
          <t>reset</t>
        </is>
      </c>
      <c r="E35" s="5" t="inlineStr">
        <is>
          <t>mobility</t>
        </is>
      </c>
      <c r="F35" s="7" t="inlineStr">
        <is>
          <t>Mobility + lower-leg prehab</t>
        </is>
      </c>
      <c r="G35" s="5" t="inlineStr">
        <is>
          <t>15 min</t>
        </is>
      </c>
      <c r="H35" s="8" t="n"/>
      <c r="I35" s="9" t="n"/>
      <c r="J35" s="10" t="n"/>
      <c r="K35" s="11" t="n"/>
      <c r="L35" s="12" t="n"/>
      <c r="M35" s="10" t="n"/>
      <c r="N35" s="10" t="n"/>
      <c r="O35" s="13" t="n"/>
      <c r="P35" s="7" t="inlineStr">
        <is>
          <t>Ankle dorsiflexion (knee-to-wall), calf and soleus stretch, hip flexors, thoracic rotation, and 3 × 20 tibialis raises. Ten minutes of this beats an hour once a month.</t>
        </is>
      </c>
    </row>
    <row r="36">
      <c r="A36" s="4" t="inlineStr">
        <is>
          <t>2026-10-07</t>
        </is>
      </c>
      <c r="B36" s="5" t="inlineStr">
        <is>
          <t>Wed</t>
        </is>
      </c>
      <c r="C36" s="5" t="n">
        <v>3</v>
      </c>
      <c r="D36" s="5" t="inlineStr">
        <is>
          <t>reset</t>
        </is>
      </c>
      <c r="E36" s="6" t="inlineStr">
        <is>
          <t>swim</t>
        </is>
      </c>
      <c r="F36" s="7" t="inlineStr">
        <is>
          <t>Swim — speed 20 × 50</t>
        </is>
      </c>
      <c r="G36" s="5" t="inlineStr">
        <is>
          <t>2,200 yd · 49–65 min</t>
        </is>
      </c>
      <c r="H36" s="8" t="n">
        <v>2200</v>
      </c>
      <c r="I36" s="9" t="n"/>
      <c r="J36" s="10" t="n"/>
      <c r="K36" s="11" t="n"/>
      <c r="L36" s="12" t="n"/>
      <c r="M36" s="10" t="n"/>
      <c r="N36" s="10" t="n"/>
      <c r="O36" s="13" t="n"/>
      <c r="P36" s="7" t="inlineStr">
        <is>
          <t>Warm-up 300. Drill 400 as 8 × 50, the left-side ladder in order: side kick + breathe (left) ×2 / 6-1-6 ×2 / left-breathing single-arm ×2 / 3/5/3 breathing ×2. Fins throughout and no snorkel at all today — every drill in this block is about getting air, which is exactly what a snorkel removes. Work the ladder in sequence and do not move up until the current rung is calm: if the hips drop on the side kick, stay there. Main: 20 × 50 on 1:10, alternating aerobic and fast. Then 4 × 50 breaststroke. Cool-down 300. The fast ones should be 1:38–1:48/100 pace, not sprints.</t>
        </is>
      </c>
    </row>
    <row r="37">
      <c r="A37" s="4" t="inlineStr">
        <is>
          <t>2026-10-07</t>
        </is>
      </c>
      <c r="B37" s="5" t="inlineStr">
        <is>
          <t>Wed</t>
        </is>
      </c>
      <c r="C37" s="5" t="n">
        <v>3</v>
      </c>
      <c r="D37" s="5" t="inlineStr">
        <is>
          <t>reset</t>
        </is>
      </c>
      <c r="E37" s="16" t="inlineStr">
        <is>
          <t>bike</t>
        </is>
      </c>
      <c r="F37" s="7" t="inlineStr">
        <is>
          <t>Spin bike — sweet spot 3 × 8 min</t>
        </is>
      </c>
      <c r="G37" s="5" t="inlineStr">
        <is>
          <t>50 min</t>
        </is>
      </c>
      <c r="H37" s="8" t="n"/>
      <c r="I37" s="9" t="n"/>
      <c r="J37" s="10" t="n"/>
      <c r="K37" s="11" t="n"/>
      <c r="L37" s="12" t="n"/>
      <c r="M37" s="10" t="n"/>
      <c r="N37" s="10" t="n"/>
      <c r="O37" s="13" t="n"/>
      <c r="P37" s="7" t="inlineStr">
        <is>
          <t>3 × 8 min at 164–173 W (88–93% of your 186 W FTP) with 4 min easy between. Cadence 85–95. First structured bike session of the block — hold the bottom of the band on the first interval, because the last one is the one that counts.</t>
        </is>
      </c>
    </row>
    <row r="38">
      <c r="A38" s="4" t="inlineStr">
        <is>
          <t>2026-10-08</t>
        </is>
      </c>
      <c r="B38" s="5" t="inlineStr">
        <is>
          <t>Thu</t>
        </is>
      </c>
      <c r="C38" s="5" t="n">
        <v>3</v>
      </c>
      <c r="D38" s="5" t="inlineStr">
        <is>
          <t>reset</t>
        </is>
      </c>
      <c r="E38" s="15" t="inlineStr">
        <is>
          <t>run</t>
        </is>
      </c>
      <c r="F38" s="7" t="inlineStr">
        <is>
          <t>Easy run — 5 km</t>
        </is>
      </c>
      <c r="G38" s="5" t="inlineStr">
        <is>
          <t>32–36 min</t>
        </is>
      </c>
      <c r="H38" s="8" t="n"/>
      <c r="I38" s="9" t="n">
        <v>5</v>
      </c>
      <c r="J38" s="10" t="n"/>
      <c r="K38" s="11" t="n"/>
      <c r="L38" s="12" t="n"/>
      <c r="M38" s="10" t="n"/>
      <c r="N38" s="10" t="n"/>
      <c r="O38" s="13" t="n"/>
      <c r="P38" s="7" t="inlineStr">
        <is>
          <t>Track or soft trail, easy throughout. This is the week's long run even though it is short — that is the point.</t>
        </is>
      </c>
    </row>
    <row r="39">
      <c r="A39" s="4" t="inlineStr">
        <is>
          <t>2026-10-08</t>
        </is>
      </c>
      <c r="B39" s="5" t="inlineStr">
        <is>
          <t>Thu</t>
        </is>
      </c>
      <c r="C39" s="5" t="n">
        <v>3</v>
      </c>
      <c r="D39" s="5" t="inlineStr">
        <is>
          <t>reset</t>
        </is>
      </c>
      <c r="E39" s="14" t="inlineStr">
        <is>
          <t>strength</t>
        </is>
      </c>
      <c r="F39" s="7" t="inlineStr">
        <is>
          <t>Strength B — Bulgarian split squat + hips and core</t>
        </is>
      </c>
      <c r="G39" s="5" t="inlineStr">
        <is>
          <t>45–55 min</t>
        </is>
      </c>
      <c r="H39" s="8" t="n"/>
      <c r="I39" s="9" t="n"/>
      <c r="J39" s="10" t="n"/>
      <c r="K39" s="11" t="n"/>
      <c r="L39" s="12" t="n"/>
      <c r="M39" s="10" t="n"/>
      <c r="N39" s="10" t="n"/>
      <c r="O39" s="13" t="n"/>
      <c r="P39" s="7" t="inlineStr">
        <is>
          <t>Bulgarian split squats slightly heavier. If the shins are talking after two runs this week, drop the step-ups and add a third set of soleus raises instead.</t>
        </is>
      </c>
    </row>
    <row r="40">
      <c r="A40" s="4" t="inlineStr">
        <is>
          <t>2026-10-09</t>
        </is>
      </c>
      <c r="B40" s="5" t="inlineStr">
        <is>
          <t>Fri</t>
        </is>
      </c>
      <c r="C40" s="5" t="n">
        <v>3</v>
      </c>
      <c r="D40" s="5" t="inlineStr">
        <is>
          <t>reset</t>
        </is>
      </c>
      <c r="E40" s="6" t="inlineStr">
        <is>
          <t>swim</t>
        </is>
      </c>
      <c r="F40" s="7" t="inlineStr">
        <is>
          <t>Swim — long aerobic 1,400</t>
        </is>
      </c>
      <c r="G40" s="5" t="inlineStr">
        <is>
          <t>2,400 yd · 53–71 min</t>
        </is>
      </c>
      <c r="H40" s="8" t="n">
        <v>2400</v>
      </c>
      <c r="I40" s="9" t="n"/>
      <c r="J40" s="10" t="n"/>
      <c r="K40" s="11" t="n"/>
      <c r="L40" s="12" t="n"/>
      <c r="M40" s="10" t="n"/>
      <c r="N40" s="10" t="n"/>
      <c r="O40" s="13" t="n"/>
      <c r="P40" s="7" t="inlineStr">
        <is>
          <t>Warm-up 300. Main: 1,400 continuous, then 4 × 100 at CSS on 2:20. Cool-down 300. Compare the HR drift on the 1,400 to Week 1's 1,000 — the target is a flatter curve, not a faster swim.</t>
        </is>
      </c>
    </row>
    <row r="41">
      <c r="A41" s="4" t="inlineStr">
        <is>
          <t>2026-10-09</t>
        </is>
      </c>
      <c r="B41" s="5" t="inlineStr">
        <is>
          <t>Fri</t>
        </is>
      </c>
      <c r="C41" s="5" t="n">
        <v>3</v>
      </c>
      <c r="D41" s="5" t="inlineStr">
        <is>
          <t>reset</t>
        </is>
      </c>
      <c r="E41" s="14" t="inlineStr">
        <is>
          <t>strength</t>
        </is>
      </c>
      <c r="F41" s="7" t="inlineStr">
        <is>
          <t>Back and biceps</t>
        </is>
      </c>
      <c r="G41" s="5" t="inlineStr">
        <is>
          <t>45–55 min</t>
        </is>
      </c>
      <c r="H41" s="8" t="n"/>
      <c r="I41" s="9" t="n"/>
      <c r="J41" s="10" t="n"/>
      <c r="K41" s="11" t="n"/>
      <c r="L41" s="12" t="n"/>
      <c r="M41" s="10" t="n"/>
      <c r="N41" s="10" t="n"/>
      <c r="O41" s="13" t="n"/>
      <c r="P41" s="7" t="inlineStr">
        <is>
          <t>Upper day, pulling half of the rotation. Everything here is a row or a pull-down, which is the same pattern your catch uses — train it heavy and slow and the stroke gets a stronger anchor. Pull-ups to failure at the end, however many that is.</t>
        </is>
      </c>
    </row>
    <row r="42">
      <c r="A42" s="4" t="inlineStr">
        <is>
          <t>2026-10-09</t>
        </is>
      </c>
      <c r="B42" s="5" t="inlineStr">
        <is>
          <t>Fri</t>
        </is>
      </c>
      <c r="C42" s="5" t="n">
        <v>3</v>
      </c>
      <c r="D42" s="5" t="inlineStr">
        <is>
          <t>reset</t>
        </is>
      </c>
      <c r="E42" s="5" t="inlineStr">
        <is>
          <t>mobility</t>
        </is>
      </c>
      <c r="F42" s="7" t="inlineStr">
        <is>
          <t>Mobility + lower-leg prehab</t>
        </is>
      </c>
      <c r="G42" s="5" t="inlineStr">
        <is>
          <t>15 min</t>
        </is>
      </c>
      <c r="H42" s="8" t="n"/>
      <c r="I42" s="9" t="n"/>
      <c r="J42" s="10" t="n"/>
      <c r="K42" s="11" t="n"/>
      <c r="L42" s="12" t="n"/>
      <c r="M42" s="10" t="n"/>
      <c r="N42" s="10" t="n"/>
      <c r="O42" s="13" t="n"/>
      <c r="P42" s="7" t="inlineStr">
        <is>
          <t>Ankle dorsiflexion (knee-to-wall), calf and soleus stretch, hip flexors, thoracic rotation, and 3 × 20 tibialis raises. Ten minutes of this beats an hour once a month.</t>
        </is>
      </c>
    </row>
    <row r="43">
      <c r="A43" s="4" t="inlineStr">
        <is>
          <t>2026-10-10</t>
        </is>
      </c>
      <c r="B43" s="5" t="inlineStr">
        <is>
          <t>Sat</t>
        </is>
      </c>
      <c r="C43" s="5" t="n">
        <v>3</v>
      </c>
      <c r="D43" s="5" t="inlineStr">
        <is>
          <t>reset</t>
        </is>
      </c>
      <c r="E43" s="5" t="inlineStr">
        <is>
          <t>cardio</t>
        </is>
      </c>
      <c r="F43" s="7" t="inlineStr">
        <is>
          <t>Weekend aerobic — long ride or hike</t>
        </is>
      </c>
      <c r="G43" s="5" t="inlineStr">
        <is>
          <t>2.5–3.5 hr</t>
        </is>
      </c>
      <c r="H43" s="8" t="n"/>
      <c r="I43" s="9" t="n"/>
      <c r="J43" s="10" t="n"/>
      <c r="K43" s="11" t="n"/>
      <c r="L43" s="12" t="n"/>
      <c r="M43" s="10" t="n"/>
      <c r="N43" s="10" t="n"/>
      <c r="O43" s="13" t="n"/>
      <c r="P43" s="7" t="inlineStr">
        <is>
          <t>Last of the good fall weather. If it is a hike, take the pack with 10–15 lb. If it is a ride, keep it endurance-paced.</t>
        </is>
      </c>
    </row>
    <row r="44">
      <c r="A44" s="4" t="inlineStr">
        <is>
          <t>2026-10-10</t>
        </is>
      </c>
      <c r="B44" s="5" t="inlineStr">
        <is>
          <t>Sat</t>
        </is>
      </c>
      <c r="C44" s="5" t="n">
        <v>3</v>
      </c>
      <c r="D44" s="5" t="inlineStr">
        <is>
          <t>reset</t>
        </is>
      </c>
      <c r="E44" s="6" t="inlineStr">
        <is>
          <t>swim</t>
        </is>
      </c>
      <c r="F44" s="7" t="inlineStr">
        <is>
          <t>Technique swim (short)</t>
        </is>
      </c>
      <c r="G44" s="5" t="inlineStr">
        <is>
          <t>1,100 yd · 24–32 min</t>
        </is>
      </c>
      <c r="H44" s="8" t="n">
        <v>1100</v>
      </c>
      <c r="I44" s="9" t="n"/>
      <c r="J44" s="10" t="n"/>
      <c r="K44" s="11" t="n"/>
      <c r="L44" s="12" t="n"/>
      <c r="M44" s="10" t="n"/>
      <c r="N44" s="10" t="n"/>
      <c r="O44" s="13" t="n"/>
      <c r="P44" s="7" t="inlineStr">
        <is>
          <t>About 1,100 yd total, all easy. No clock, no main set. Snorkel and fins for the first half — catch-up, fingertip drag and front scull, rotating through them — then easy 50s holding the feel. This session exists to raise frequency and keep the stroke fresh — leave the pool fresher than you arrived.</t>
        </is>
      </c>
    </row>
    <row r="45">
      <c r="A45" s="4" t="inlineStr">
        <is>
          <t>2026-10-11</t>
        </is>
      </c>
      <c r="B45" s="5" t="inlineStr">
        <is>
          <t>Sun</t>
        </is>
      </c>
      <c r="C45" s="5" t="n">
        <v>3</v>
      </c>
      <c r="D45" s="5" t="inlineStr">
        <is>
          <t>reset</t>
        </is>
      </c>
      <c r="E45" s="5" t="inlineStr">
        <is>
          <t>cardio</t>
        </is>
      </c>
      <c r="F45" s="7" t="inlineStr">
        <is>
          <t>Ski erg — easy aerobic</t>
        </is>
      </c>
      <c r="G45" s="5" t="inlineStr">
        <is>
          <t>30 min</t>
        </is>
      </c>
      <c r="H45" s="8" t="n"/>
      <c r="I45" s="9" t="n"/>
      <c r="J45" s="10" t="n"/>
      <c r="K45" s="11" t="n"/>
      <c r="L45" s="12" t="n"/>
      <c r="M45" s="10" t="n"/>
      <c r="N45" s="10" t="n"/>
      <c r="O45" s="13" t="n"/>
      <c r="P45" s="7" t="inlineStr">
        <is>
          <t>No swim, bike or run today, so this is the calorie-and-aerobic topper. 30 min steady on the ski erg, HR under 145, full double-pole. It is the one machine that loads the lats the way swimming does without touching your legs — useful the day after a run.</t>
        </is>
      </c>
    </row>
    <row r="46">
      <c r="A46" s="4" t="inlineStr">
        <is>
          <t>2026-10-11</t>
        </is>
      </c>
      <c r="B46" s="5" t="inlineStr">
        <is>
          <t>Sun</t>
        </is>
      </c>
      <c r="C46" s="5" t="n">
        <v>3</v>
      </c>
      <c r="D46" s="5" t="inlineStr">
        <is>
          <t>reset</t>
        </is>
      </c>
      <c r="E46" s="5" t="inlineStr">
        <is>
          <t>mobility</t>
        </is>
      </c>
      <c r="F46" s="7" t="inlineStr">
        <is>
          <t>Mobility + lower-leg prehab</t>
        </is>
      </c>
      <c r="G46" s="5" t="inlineStr">
        <is>
          <t>25 min</t>
        </is>
      </c>
      <c r="H46" s="8" t="n"/>
      <c r="I46" s="9" t="n"/>
      <c r="J46" s="10" t="n"/>
      <c r="K46" s="11" t="n"/>
      <c r="L46" s="12" t="n"/>
      <c r="M46" s="10" t="n"/>
      <c r="N46" s="10" t="n"/>
      <c r="O46" s="13" t="n"/>
      <c r="P46" s="7" t="inlineStr">
        <is>
          <t>Full mobility plus foot intrinsics and knee-to-wall check. End of the reset phase — take stock: CSS 1:53, FTP 186 W, shins quiet?</t>
        </is>
      </c>
    </row>
    <row r="47">
      <c r="A47" s="4" t="inlineStr">
        <is>
          <t>2026-10-12</t>
        </is>
      </c>
      <c r="B47" s="5" t="inlineStr">
        <is>
          <t>Mon</t>
        </is>
      </c>
      <c r="C47" s="5" t="n">
        <v>4</v>
      </c>
      <c r="D47" s="5" t="inlineStr">
        <is>
          <t>build1</t>
        </is>
      </c>
      <c r="E47" s="6" t="inlineStr">
        <is>
          <t>swim</t>
        </is>
      </c>
      <c r="F47" s="7" t="inlineStr">
        <is>
          <t>Swim — threshold 12 × 100</t>
        </is>
      </c>
      <c r="G47" s="5" t="inlineStr">
        <is>
          <t>2,300 yd · 51–68 min</t>
        </is>
      </c>
      <c r="H47" s="8" t="n">
        <v>2300</v>
      </c>
      <c r="I47" s="9" t="n"/>
      <c r="J47" s="10" t="n"/>
      <c r="K47" s="11" t="n"/>
      <c r="L47" s="12" t="n"/>
      <c r="M47" s="10" t="n"/>
      <c r="N47" s="10" t="n"/>
      <c r="O47" s="13" t="n"/>
      <c r="P47" s="7" t="inlineStr">
        <is>
          <t>Warm-up 400. Drill 400 as 8 × 50, each drill twice: front scull / single-arm / closed-fist / catch-up. Snorkel and fins throughout. Main: 12 × 100 at CSS on 2:15. Cool-down 300. Log the stroke count on the 100 that felt best — that number is your technique feedback loop for the rest of the block.</t>
        </is>
      </c>
    </row>
    <row r="48">
      <c r="A48" s="4" t="inlineStr">
        <is>
          <t>2026-10-12</t>
        </is>
      </c>
      <c r="B48" s="5" t="inlineStr">
        <is>
          <t>Mon</t>
        </is>
      </c>
      <c r="C48" s="5" t="n">
        <v>4</v>
      </c>
      <c r="D48" s="5" t="inlineStr">
        <is>
          <t>build1</t>
        </is>
      </c>
      <c r="E48" s="14" t="inlineStr">
        <is>
          <t>strength</t>
        </is>
      </c>
      <c r="F48" s="7" t="inlineStr">
        <is>
          <t>Strength A — RDL + posterior chain</t>
        </is>
      </c>
      <c r="G48" s="5" t="inlineStr">
        <is>
          <t>45–55 min</t>
        </is>
      </c>
      <c r="H48" s="8" t="n"/>
      <c r="I48" s="9" t="n"/>
      <c r="J48" s="10" t="n"/>
      <c r="K48" s="11" t="n"/>
      <c r="L48" s="12" t="n"/>
      <c r="M48" s="10" t="n"/>
      <c r="N48" s="10" t="n"/>
      <c r="O48" s="13" t="n"/>
      <c r="P48" s="7" t="inlineStr">
        <is>
          <t>Full session, progressing loads. Keep the tibialis raises at 3 × 20 — they matter more now that running is climbing.</t>
        </is>
      </c>
    </row>
    <row r="49">
      <c r="A49" s="4" t="inlineStr">
        <is>
          <t>2026-10-13</t>
        </is>
      </c>
      <c r="B49" s="5" t="inlineStr">
        <is>
          <t>Tue</t>
        </is>
      </c>
      <c r="C49" s="5" t="n">
        <v>4</v>
      </c>
      <c r="D49" s="5" t="inlineStr">
        <is>
          <t>build1</t>
        </is>
      </c>
      <c r="E49" s="15" t="inlineStr">
        <is>
          <t>run</t>
        </is>
      </c>
      <c r="F49" s="7" t="inlineStr">
        <is>
          <t>Easy run — 5 km</t>
        </is>
      </c>
      <c r="G49" s="5" t="inlineStr">
        <is>
          <t>30–35 min</t>
        </is>
      </c>
      <c r="H49" s="8" t="n"/>
      <c r="I49" s="9" t="n">
        <v>5</v>
      </c>
      <c r="J49" s="10" t="n"/>
      <c r="K49" s="11" t="n"/>
      <c r="L49" s="12" t="n"/>
      <c r="M49" s="10" t="n"/>
      <c r="N49" s="10" t="n"/>
      <c r="O49" s="13" t="n"/>
      <c r="P49" s="7" t="inlineStr">
        <is>
          <t>Second week in the orthotics. Calves will be working differently; that is adaptation, not injury. Track or soft trail.</t>
        </is>
      </c>
    </row>
    <row r="50">
      <c r="A50" s="4" t="inlineStr">
        <is>
          <t>2026-10-13</t>
        </is>
      </c>
      <c r="B50" s="5" t="inlineStr">
        <is>
          <t>Tue</t>
        </is>
      </c>
      <c r="C50" s="5" t="n">
        <v>4</v>
      </c>
      <c r="D50" s="5" t="inlineStr">
        <is>
          <t>build1</t>
        </is>
      </c>
      <c r="E50" s="6" t="inlineStr">
        <is>
          <t>swim</t>
        </is>
      </c>
      <c r="F50" s="7" t="inlineStr">
        <is>
          <t>Technique swim (short)</t>
        </is>
      </c>
      <c r="G50" s="5" t="inlineStr">
        <is>
          <t>1,200 yd · 27–35 min</t>
        </is>
      </c>
      <c r="H50" s="8" t="n">
        <v>1200</v>
      </c>
      <c r="I50" s="9" t="n"/>
      <c r="J50" s="10" t="n"/>
      <c r="K50" s="11" t="n"/>
      <c r="L50" s="12" t="n"/>
      <c r="M50" s="10" t="n"/>
      <c r="N50" s="10" t="n"/>
      <c r="O50" s="13" t="n"/>
      <c r="P50" s="7" t="inlineStr">
        <is>
          <t>About 1,200 yd total, all easy. No clock, no main set. Snorkel and fins for the first half — catch-up, fingertip drag and front scull, rotating through them — then easy 50s holding the feel. This session exists to raise frequency and keep the stroke fresh — leave the pool fresher than you arrived.</t>
        </is>
      </c>
    </row>
    <row r="51">
      <c r="A51" s="4" t="inlineStr">
        <is>
          <t>2026-10-13</t>
        </is>
      </c>
      <c r="B51" s="5" t="inlineStr">
        <is>
          <t>Tue</t>
        </is>
      </c>
      <c r="C51" s="5" t="n">
        <v>4</v>
      </c>
      <c r="D51" s="5" t="inlineStr">
        <is>
          <t>build1</t>
        </is>
      </c>
      <c r="E51" s="5" t="inlineStr">
        <is>
          <t>mobility</t>
        </is>
      </c>
      <c r="F51" s="7" t="inlineStr">
        <is>
          <t>Mobility + lower-leg prehab</t>
        </is>
      </c>
      <c r="G51" s="5" t="inlineStr">
        <is>
          <t>15 min</t>
        </is>
      </c>
      <c r="H51" s="8" t="n"/>
      <c r="I51" s="9" t="n"/>
      <c r="J51" s="10" t="n"/>
      <c r="K51" s="11" t="n"/>
      <c r="L51" s="12" t="n"/>
      <c r="M51" s="10" t="n"/>
      <c r="N51" s="10" t="n"/>
      <c r="O51" s="13" t="n"/>
      <c r="P51" s="7" t="inlineStr">
        <is>
          <t>Ankle dorsiflexion (knee-to-wall), calf and soleus stretch, hip flexors, thoracic rotation, and 3 × 20 tibialis raises. Ten minutes of this beats an hour once a month.</t>
        </is>
      </c>
    </row>
    <row r="52">
      <c r="A52" s="4" t="inlineStr">
        <is>
          <t>2026-10-14</t>
        </is>
      </c>
      <c r="B52" s="5" t="inlineStr">
        <is>
          <t>Wed</t>
        </is>
      </c>
      <c r="C52" s="5" t="n">
        <v>4</v>
      </c>
      <c r="D52" s="5" t="inlineStr">
        <is>
          <t>build1</t>
        </is>
      </c>
      <c r="E52" s="6" t="inlineStr">
        <is>
          <t>swim</t>
        </is>
      </c>
      <c r="F52" s="7" t="inlineStr">
        <is>
          <t>Swim — speed 4 × (4 × 50)</t>
        </is>
      </c>
      <c r="G52" s="5" t="inlineStr">
        <is>
          <t>1,900 yd · 42–56 min</t>
        </is>
      </c>
      <c r="H52" s="8" t="n">
        <v>1900</v>
      </c>
      <c r="I52" s="9" t="n"/>
      <c r="J52" s="10" t="n"/>
      <c r="K52" s="11" t="n"/>
      <c r="L52" s="12" t="n"/>
      <c r="M52" s="10" t="n"/>
      <c r="N52" s="10" t="n"/>
      <c r="O52" s="13" t="n"/>
      <c r="P52" s="7" t="inlineStr">
        <is>
          <t>Warm-up 300. Drill 400 as 8 × 50, left-side ladder week two: left-breathing single-arm ×3 / side kick + breathe (left) ×1 / front scull ×2 / 6-1-6 ×2. Fins throughout; snorkel on for front scull only. The left-breathing single-arm takes the biggest share now — it is the rung where the left breath starts happening at something close to real stroke rate, and side kick + breathe drops to a single 50 as a check rather than a lesson. Main: 4 rounds of 4 × 50 on 1:05, descending 1 to 4 within each round, 45 s between rounds. Then 4 × 50 breaststroke. Cool-down 200.</t>
        </is>
      </c>
    </row>
    <row r="53">
      <c r="A53" s="4" t="inlineStr">
        <is>
          <t>2026-10-14</t>
        </is>
      </c>
      <c r="B53" s="5" t="inlineStr">
        <is>
          <t>Wed</t>
        </is>
      </c>
      <c r="C53" s="5" t="n">
        <v>4</v>
      </c>
      <c r="D53" s="5" t="inlineStr">
        <is>
          <t>build1</t>
        </is>
      </c>
      <c r="E53" s="16" t="inlineStr">
        <is>
          <t>bike</t>
        </is>
      </c>
      <c r="F53" s="7" t="inlineStr">
        <is>
          <t>Spin bike — sweet spot 3 × 10 min</t>
        </is>
      </c>
      <c r="G53" s="5" t="inlineStr">
        <is>
          <t>55 min</t>
        </is>
      </c>
      <c r="H53" s="8" t="n"/>
      <c r="I53" s="9" t="n"/>
      <c r="J53" s="10" t="n"/>
      <c r="K53" s="11" t="n"/>
      <c r="L53" s="12" t="n"/>
      <c r="M53" s="10" t="n"/>
      <c r="N53" s="10" t="n"/>
      <c r="O53" s="13" t="n"/>
      <c r="P53" s="7" t="inlineStr">
        <is>
          <t>3 × 10 min at 164–173 W, 4 min easy between. Hold cadence above 85.</t>
        </is>
      </c>
    </row>
    <row r="54">
      <c r="A54" s="4" t="inlineStr">
        <is>
          <t>2026-10-15</t>
        </is>
      </c>
      <c r="B54" s="5" t="inlineStr">
        <is>
          <t>Thu</t>
        </is>
      </c>
      <c r="C54" s="5" t="n">
        <v>4</v>
      </c>
      <c r="D54" s="5" t="inlineStr">
        <is>
          <t>build1</t>
        </is>
      </c>
      <c r="E54" s="15" t="inlineStr">
        <is>
          <t>run</t>
        </is>
      </c>
      <c r="F54" s="7" t="inlineStr">
        <is>
          <t>Easy run — 6 km</t>
        </is>
      </c>
      <c r="G54" s="5" t="inlineStr">
        <is>
          <t>38–42 min</t>
        </is>
      </c>
      <c r="H54" s="8" t="n"/>
      <c r="I54" s="9" t="n">
        <v>6</v>
      </c>
      <c r="J54" s="10" t="n"/>
      <c r="K54" s="11" t="n"/>
      <c r="L54" s="12" t="n"/>
      <c r="M54" s="10" t="n"/>
      <c r="N54" s="10" t="n"/>
      <c r="O54" s="13" t="n"/>
      <c r="P54" s="7" t="inlineStr">
        <is>
          <t>Long run of the week. Flat, soft surface, conversational the whole way. Do not let a good day turn this into 8 km.</t>
        </is>
      </c>
    </row>
    <row r="55">
      <c r="A55" s="4" t="inlineStr">
        <is>
          <t>2026-10-15</t>
        </is>
      </c>
      <c r="B55" s="5" t="inlineStr">
        <is>
          <t>Thu</t>
        </is>
      </c>
      <c r="C55" s="5" t="n">
        <v>4</v>
      </c>
      <c r="D55" s="5" t="inlineStr">
        <is>
          <t>build1</t>
        </is>
      </c>
      <c r="E55" s="14" t="inlineStr">
        <is>
          <t>strength</t>
        </is>
      </c>
      <c r="F55" s="7" t="inlineStr">
        <is>
          <t>Strength B — Bulgarian split squat + hips and core</t>
        </is>
      </c>
      <c r="G55" s="5" t="inlineStr">
        <is>
          <t>45–55 min</t>
        </is>
      </c>
      <c r="H55" s="8" t="n"/>
      <c r="I55" s="9" t="n"/>
      <c r="J55" s="10" t="n"/>
      <c r="K55" s="11" t="n"/>
      <c r="L55" s="12" t="n"/>
      <c r="M55" s="10" t="n"/>
      <c r="N55" s="10" t="n"/>
      <c r="O55" s="13" t="n"/>
      <c r="P55" s="7" t="inlineStr">
        <is>
          <t>Progress the split squat. Copenhagen planks should be getting easier — extend the lever (foot on bench) when 30 s feels controlled.</t>
        </is>
      </c>
    </row>
    <row r="56">
      <c r="A56" s="4" t="inlineStr">
        <is>
          <t>2026-10-16</t>
        </is>
      </c>
      <c r="B56" s="5" t="inlineStr">
        <is>
          <t>Fri</t>
        </is>
      </c>
      <c r="C56" s="5" t="n">
        <v>4</v>
      </c>
      <c r="D56" s="5" t="inlineStr">
        <is>
          <t>build1</t>
        </is>
      </c>
      <c r="E56" s="6" t="inlineStr">
        <is>
          <t>swim</t>
        </is>
      </c>
      <c r="F56" s="7" t="inlineStr">
        <is>
          <t>Swim — long aerobic 1,600</t>
        </is>
      </c>
      <c r="G56" s="5" t="inlineStr">
        <is>
          <t>2,800 yd · 62–82 min</t>
        </is>
      </c>
      <c r="H56" s="8" t="n">
        <v>2800</v>
      </c>
      <c r="I56" s="9" t="n"/>
      <c r="J56" s="10" t="n"/>
      <c r="K56" s="11" t="n"/>
      <c r="L56" s="12" t="n"/>
      <c r="M56" s="10" t="n"/>
      <c r="N56" s="10" t="n"/>
      <c r="O56" s="13" t="n"/>
      <c r="P56" s="7" t="inlineStr">
        <is>
          <t>Warm-up 300. Main: 1,600 continuous, then 6 × 100 at CSS on 2:20. Cool-down 300. First time over 1,500 continuous in a 25 yd pool — settle in and let it be boring.</t>
        </is>
      </c>
    </row>
    <row r="57">
      <c r="A57" s="4" t="inlineStr">
        <is>
          <t>2026-10-16</t>
        </is>
      </c>
      <c r="B57" s="5" t="inlineStr">
        <is>
          <t>Fri</t>
        </is>
      </c>
      <c r="C57" s="5" t="n">
        <v>4</v>
      </c>
      <c r="D57" s="5" t="inlineStr">
        <is>
          <t>build1</t>
        </is>
      </c>
      <c r="E57" s="14" t="inlineStr">
        <is>
          <t>strength</t>
        </is>
      </c>
      <c r="F57" s="7" t="inlineStr">
        <is>
          <t>Chest and shoulders</t>
        </is>
      </c>
      <c r="G57" s="5" t="inlineStr">
        <is>
          <t>45–55 min</t>
        </is>
      </c>
      <c r="H57" s="8" t="n"/>
      <c r="I57" s="9" t="n"/>
      <c r="J57" s="10" t="n"/>
      <c r="K57" s="11" t="n"/>
      <c r="L57" s="12" t="n"/>
      <c r="M57" s="10" t="n"/>
      <c r="N57" s="10" t="n"/>
      <c r="O57" s="13" t="n"/>
      <c r="P57" s="7" t="inlineStr">
        <is>
          <t>Pressing day again. Compare the dumbbell bench load to Week 2 — if rep 8 is still clean, go up 5 lb a hand. The band pull-aparts at the end are not filler: they are the direct antidote to swimming's forward-shoulder posture.</t>
        </is>
      </c>
    </row>
    <row r="58">
      <c r="A58" s="4" t="inlineStr">
        <is>
          <t>2026-10-16</t>
        </is>
      </c>
      <c r="B58" s="5" t="inlineStr">
        <is>
          <t>Fri</t>
        </is>
      </c>
      <c r="C58" s="5" t="n">
        <v>4</v>
      </c>
      <c r="D58" s="5" t="inlineStr">
        <is>
          <t>build1</t>
        </is>
      </c>
      <c r="E58" s="5" t="inlineStr">
        <is>
          <t>mobility</t>
        </is>
      </c>
      <c r="F58" s="7" t="inlineStr">
        <is>
          <t>Mobility + lower-leg prehab</t>
        </is>
      </c>
      <c r="G58" s="5" t="inlineStr">
        <is>
          <t>15 min</t>
        </is>
      </c>
      <c r="H58" s="8" t="n"/>
      <c r="I58" s="9" t="n"/>
      <c r="J58" s="10" t="n"/>
      <c r="K58" s="11" t="n"/>
      <c r="L58" s="12" t="n"/>
      <c r="M58" s="10" t="n"/>
      <c r="N58" s="10" t="n"/>
      <c r="O58" s="13" t="n"/>
      <c r="P58" s="7" t="inlineStr">
        <is>
          <t>Ankle dorsiflexion (knee-to-wall), calf and soleus stretch, hip flexors, thoracic rotation, and 3 × 20 tibialis raises. Ten minutes of this beats an hour once a month.</t>
        </is>
      </c>
    </row>
    <row r="59">
      <c r="A59" s="4" t="inlineStr">
        <is>
          <t>2026-10-17</t>
        </is>
      </c>
      <c r="B59" s="5" t="inlineStr">
        <is>
          <t>Sat</t>
        </is>
      </c>
      <c r="C59" s="5" t="n">
        <v>4</v>
      </c>
      <c r="D59" s="5" t="inlineStr">
        <is>
          <t>build1</t>
        </is>
      </c>
      <c r="E59" s="5" t="inlineStr">
        <is>
          <t>cardio</t>
        </is>
      </c>
      <c r="F59" s="7" t="inlineStr">
        <is>
          <t>Stairmaster + 15 lb pack</t>
        </is>
      </c>
      <c r="G59" s="5" t="inlineStr">
        <is>
          <t>45 min</t>
        </is>
      </c>
      <c r="H59" s="8" t="n"/>
      <c r="I59" s="9" t="n"/>
      <c r="J59" s="10" t="n"/>
      <c r="K59" s="11" t="n"/>
      <c r="L59" s="12" t="n"/>
      <c r="M59" s="10" t="n"/>
      <c r="N59" s="10" t="n"/>
      <c r="O59" s="13" t="n"/>
      <c r="P59" s="7" t="inlineStr">
        <is>
          <t>Steady 45 min at 15 lb. Rainier maintenance continues biweekly through the block.</t>
        </is>
      </c>
    </row>
    <row r="60">
      <c r="A60" s="4" t="inlineStr">
        <is>
          <t>2026-10-18</t>
        </is>
      </c>
      <c r="B60" s="5" t="inlineStr">
        <is>
          <t>Sun</t>
        </is>
      </c>
      <c r="C60" s="5" t="n">
        <v>4</v>
      </c>
      <c r="D60" s="5" t="inlineStr">
        <is>
          <t>build1</t>
        </is>
      </c>
      <c r="E60" s="16" t="inlineStr">
        <is>
          <t>bike</t>
        </is>
      </c>
      <c r="F60" s="7" t="inlineStr">
        <is>
          <t>Endurance ride — Z2</t>
        </is>
      </c>
      <c r="G60" s="5" t="inlineStr">
        <is>
          <t>75–90 min</t>
        </is>
      </c>
      <c r="H60" s="8" t="n"/>
      <c r="I60" s="9" t="n"/>
      <c r="J60" s="10" t="n"/>
      <c r="K60" s="11" t="n"/>
      <c r="L60" s="12" t="n"/>
      <c r="M60" s="10" t="n"/>
      <c r="N60" s="10" t="n"/>
      <c r="O60" s="13" t="n"/>
      <c r="P60" s="7" t="inlineStr">
        <is>
          <t>Outdoors if the weather cooperates, spin bike if not. Steady 130–145 bpm.</t>
        </is>
      </c>
    </row>
    <row r="61">
      <c r="A61" s="4" t="inlineStr">
        <is>
          <t>2026-10-18</t>
        </is>
      </c>
      <c r="B61" s="5" t="inlineStr">
        <is>
          <t>Sun</t>
        </is>
      </c>
      <c r="C61" s="5" t="n">
        <v>4</v>
      </c>
      <c r="D61" s="5" t="inlineStr">
        <is>
          <t>build1</t>
        </is>
      </c>
      <c r="E61" s="5" t="inlineStr">
        <is>
          <t>mobility</t>
        </is>
      </c>
      <c r="F61" s="7" t="inlineStr">
        <is>
          <t>Mobility + lower-leg prehab</t>
        </is>
      </c>
      <c r="G61" s="5" t="inlineStr">
        <is>
          <t>20 min</t>
        </is>
      </c>
      <c r="H61" s="8" t="n"/>
      <c r="I61" s="9" t="n"/>
      <c r="J61" s="10" t="n"/>
      <c r="K61" s="11" t="n"/>
      <c r="L61" s="12" t="n"/>
      <c r="M61" s="10" t="n"/>
      <c r="N61" s="10" t="n"/>
      <c r="O61" s="13" t="n"/>
      <c r="P61" s="7" t="inlineStr">
        <is>
          <t>Mobility plus foot intrinsics.</t>
        </is>
      </c>
    </row>
    <row r="62">
      <c r="A62" s="4" t="inlineStr">
        <is>
          <t>2026-10-19</t>
        </is>
      </c>
      <c r="B62" s="5" t="inlineStr">
        <is>
          <t>Mon</t>
        </is>
      </c>
      <c r="C62" s="5" t="n">
        <v>5</v>
      </c>
      <c r="D62" s="5" t="inlineStr">
        <is>
          <t>build1</t>
        </is>
      </c>
      <c r="E62" s="6" t="inlineStr">
        <is>
          <t>swim</t>
        </is>
      </c>
      <c r="F62" s="7" t="inlineStr">
        <is>
          <t>Swim — threshold 4 × 300</t>
        </is>
      </c>
      <c r="G62" s="5" t="inlineStr">
        <is>
          <t>2,300 yd · 51–68 min</t>
        </is>
      </c>
      <c r="H62" s="8" t="n">
        <v>2300</v>
      </c>
      <c r="I62" s="9" t="n"/>
      <c r="J62" s="10" t="n"/>
      <c r="K62" s="11" t="n"/>
      <c r="L62" s="12" t="n"/>
      <c r="M62" s="10" t="n"/>
      <c r="N62" s="10" t="n"/>
      <c r="O62" s="13" t="n"/>
      <c r="P62" s="7" t="inlineStr">
        <is>
          <t>Warm-up 400. Drill 400 as 8 × 50, each drill twice: 6-1-6 / breaststroke timing / front scull / single-arm. Fins throughout; snorkel off for 6-1-6 and breaststroke timing. Main: 4 × 300 at CSS on 6:45. Cool-down 300. The longest threshold reps yet. Pace the first 100 of each 300 deliberately slow — going out hard is what has been capping these.</t>
        </is>
      </c>
    </row>
    <row r="63">
      <c r="A63" s="4" t="inlineStr">
        <is>
          <t>2026-10-19</t>
        </is>
      </c>
      <c r="B63" s="5" t="inlineStr">
        <is>
          <t>Mon</t>
        </is>
      </c>
      <c r="C63" s="5" t="n">
        <v>5</v>
      </c>
      <c r="D63" s="5" t="inlineStr">
        <is>
          <t>build1</t>
        </is>
      </c>
      <c r="E63" s="14" t="inlineStr">
        <is>
          <t>strength</t>
        </is>
      </c>
      <c r="F63" s="7" t="inlineStr">
        <is>
          <t>Full body A — hinge + pull</t>
        </is>
      </c>
      <c r="G63" s="5" t="inlineStr">
        <is>
          <t>40–45 min</t>
        </is>
      </c>
      <c r="H63" s="8" t="n"/>
      <c r="I63" s="9" t="n"/>
      <c r="J63" s="10" t="n"/>
      <c r="K63" s="11" t="n"/>
      <c r="L63" s="12" t="n"/>
      <c r="M63" s="10" t="n"/>
      <c r="N63" s="10" t="n"/>
      <c r="O63" s="13" t="n"/>
      <c r="P63" s="7" t="inlineStr">
        <is>
          <t>First full-body session — the hamstring day and the pulling day merged into one, run as supersets so it fits in about 45 minutes. Start the RDL at last Monday's load and the pull-ups at last week's reps; the only new thing today is the pairing. If time is tight, trim the C block, never the tibialis raises.</t>
        </is>
      </c>
    </row>
    <row r="64">
      <c r="A64" s="4" t="inlineStr">
        <is>
          <t>2026-10-20</t>
        </is>
      </c>
      <c r="B64" s="5" t="inlineStr">
        <is>
          <t>Tue</t>
        </is>
      </c>
      <c r="C64" s="5" t="n">
        <v>5</v>
      </c>
      <c r="D64" s="5" t="inlineStr">
        <is>
          <t>build1</t>
        </is>
      </c>
      <c r="E64" s="15" t="inlineStr">
        <is>
          <t>run</t>
        </is>
      </c>
      <c r="F64" s="7" t="inlineStr">
        <is>
          <t>Easy run — 4 km</t>
        </is>
      </c>
      <c r="G64" s="5" t="inlineStr">
        <is>
          <t>25–28 min</t>
        </is>
      </c>
      <c r="H64" s="8" t="n"/>
      <c r="I64" s="9" t="n">
        <v>4</v>
      </c>
      <c r="J64" s="10" t="n"/>
      <c r="K64" s="11" t="n"/>
      <c r="L64" s="12" t="n"/>
      <c r="M64" s="10" t="n"/>
      <c r="N64" s="10" t="n"/>
      <c r="O64" s="13" t="n"/>
      <c r="P64" s="7" t="inlineStr">
        <is>
          <t>Short and easy. Three runs this week, all short — frequency is the adaptation we want, not distance.</t>
        </is>
      </c>
    </row>
    <row r="65">
      <c r="A65" s="4" t="inlineStr">
        <is>
          <t>2026-10-20</t>
        </is>
      </c>
      <c r="B65" s="5" t="inlineStr">
        <is>
          <t>Tue</t>
        </is>
      </c>
      <c r="C65" s="5" t="n">
        <v>5</v>
      </c>
      <c r="D65" s="5" t="inlineStr">
        <is>
          <t>build1</t>
        </is>
      </c>
      <c r="E65" s="6" t="inlineStr">
        <is>
          <t>swim</t>
        </is>
      </c>
      <c r="F65" s="7" t="inlineStr">
        <is>
          <t>Technique swim (short)</t>
        </is>
      </c>
      <c r="G65" s="5" t="inlineStr">
        <is>
          <t>1,200 yd · 27–35 min</t>
        </is>
      </c>
      <c r="H65" s="8" t="n">
        <v>1200</v>
      </c>
      <c r="I65" s="9" t="n"/>
      <c r="J65" s="10" t="n"/>
      <c r="K65" s="11" t="n"/>
      <c r="L65" s="12" t="n"/>
      <c r="M65" s="10" t="n"/>
      <c r="N65" s="10" t="n"/>
      <c r="O65" s="13" t="n"/>
      <c r="P65" s="7" t="inlineStr">
        <is>
          <t>About 1,200 yd total, all easy. No clock, no main set. Snorkel and fins for the first half — catch-up, fingertip drag and front scull, rotating through them — then easy 50s holding the feel. This session exists to raise frequency and keep the stroke fresh — leave the pool fresher than you arrived.</t>
        </is>
      </c>
    </row>
    <row r="66">
      <c r="A66" s="4" t="inlineStr">
        <is>
          <t>2026-10-20</t>
        </is>
      </c>
      <c r="B66" s="5" t="inlineStr">
        <is>
          <t>Tue</t>
        </is>
      </c>
      <c r="C66" s="5" t="n">
        <v>5</v>
      </c>
      <c r="D66" s="5" t="inlineStr">
        <is>
          <t>build1</t>
        </is>
      </c>
      <c r="E66" s="5" t="inlineStr">
        <is>
          <t>mobility</t>
        </is>
      </c>
      <c r="F66" s="7" t="inlineStr">
        <is>
          <t>Mobility + lower-leg prehab</t>
        </is>
      </c>
      <c r="G66" s="5" t="inlineStr">
        <is>
          <t>15 min</t>
        </is>
      </c>
      <c r="H66" s="8" t="n"/>
      <c r="I66" s="9" t="n"/>
      <c r="J66" s="10" t="n"/>
      <c r="K66" s="11" t="n"/>
      <c r="L66" s="12" t="n"/>
      <c r="M66" s="10" t="n"/>
      <c r="N66" s="10" t="n"/>
      <c r="O66" s="13" t="n"/>
      <c r="P66" s="7" t="inlineStr">
        <is>
          <t>Ankle dorsiflexion (knee-to-wall), calf and soleus stretch, hip flexors, thoracic rotation, and 3 × 20 tibialis raises. Ten minutes of this beats an hour once a month.</t>
        </is>
      </c>
    </row>
    <row r="67">
      <c r="A67" s="4" t="inlineStr">
        <is>
          <t>2026-10-21</t>
        </is>
      </c>
      <c r="B67" s="5" t="inlineStr">
        <is>
          <t>Wed</t>
        </is>
      </c>
      <c r="C67" s="5" t="n">
        <v>5</v>
      </c>
      <c r="D67" s="5" t="inlineStr">
        <is>
          <t>build1</t>
        </is>
      </c>
      <c r="E67" s="6" t="inlineStr">
        <is>
          <t>swim</t>
        </is>
      </c>
      <c r="F67" s="7" t="inlineStr">
        <is>
          <t>Swim — speed 20 × 50 + first paddles</t>
        </is>
      </c>
      <c r="G67" s="5" t="inlineStr">
        <is>
          <t>2,300 yd · 51–68 min</t>
        </is>
      </c>
      <c r="H67" s="8" t="n">
        <v>2300</v>
      </c>
      <c r="I67" s="9" t="n"/>
      <c r="J67" s="10" t="n"/>
      <c r="K67" s="11" t="n"/>
      <c r="L67" s="12" t="n"/>
      <c r="M67" s="10" t="n"/>
      <c r="N67" s="10" t="n"/>
      <c r="O67" s="13" t="n"/>
      <c r="P67" s="7" t="inlineStr">
        <is>
          <t>Warm-up 300. Drill 400 as 8 × 50, each drill twice: closed-fist / catch-up / 6-1-6 / breaststroke timing. Fins throughout; snorkel off for 6-1-6 and breaststroke timing. Pull 200 with small paddles and buoy, easy, holding the catch — first time on paddles, so 200 is plenty; stop immediately if the shoulder complains. Main: 20 × 50 on 1:05, alternating aerobic and fast. Then 4 × 50 breaststroke. Cool-down 200.</t>
        </is>
      </c>
    </row>
    <row r="68">
      <c r="A68" s="4" t="inlineStr">
        <is>
          <t>2026-10-21</t>
        </is>
      </c>
      <c r="B68" s="5" t="inlineStr">
        <is>
          <t>Wed</t>
        </is>
      </c>
      <c r="C68" s="5" t="n">
        <v>5</v>
      </c>
      <c r="D68" s="5" t="inlineStr">
        <is>
          <t>build1</t>
        </is>
      </c>
      <c r="E68" s="16" t="inlineStr">
        <is>
          <t>bike</t>
        </is>
      </c>
      <c r="F68" s="7" t="inlineStr">
        <is>
          <t>Spin bike — threshold 4 × 8 min</t>
        </is>
      </c>
      <c r="G68" s="5" t="inlineStr">
        <is>
          <t>55 min</t>
        </is>
      </c>
      <c r="H68" s="8" t="n"/>
      <c r="I68" s="9" t="n"/>
      <c r="J68" s="10" t="n"/>
      <c r="K68" s="11" t="n"/>
      <c r="L68" s="12" t="n"/>
      <c r="M68" s="10" t="n"/>
      <c r="N68" s="10" t="n"/>
      <c r="O68" s="13" t="n"/>
      <c r="P68" s="7" t="inlineStr">
        <is>
          <t>4 × 8 min at 177–186 W (95–100% FTP), 3 min easy between. 155–165 bpm. First time at threshold rather than sweet spot — the difference is only about 15 W but it is the difference between repeatable and not, so start at 177 W and only drift up if the fourth interval still looks safe.</t>
        </is>
      </c>
    </row>
    <row r="69">
      <c r="A69" s="4" t="inlineStr">
        <is>
          <t>2026-10-22</t>
        </is>
      </c>
      <c r="B69" s="5" t="inlineStr">
        <is>
          <t>Thu</t>
        </is>
      </c>
      <c r="C69" s="5" t="n">
        <v>5</v>
      </c>
      <c r="D69" s="5" t="inlineStr">
        <is>
          <t>build1</t>
        </is>
      </c>
      <c r="E69" s="15" t="inlineStr">
        <is>
          <t>run</t>
        </is>
      </c>
      <c r="F69" s="7" t="inlineStr">
        <is>
          <t>Easy run — 4 km + strides</t>
        </is>
      </c>
      <c r="G69" s="5" t="inlineStr">
        <is>
          <t>28–30 min</t>
        </is>
      </c>
      <c r="H69" s="8" t="n"/>
      <c r="I69" s="9" t="n">
        <v>4</v>
      </c>
      <c r="J69" s="10" t="n"/>
      <c r="K69" s="11" t="n"/>
      <c r="L69" s="12" t="n"/>
      <c r="M69" s="10" t="n"/>
      <c r="N69" s="10" t="n"/>
      <c r="O69" s="13" t="n"/>
      <c r="P69" s="7" t="inlineStr">
        <is>
          <t>Second short run. Finish with 6 × 20 s strides on grass.</t>
        </is>
      </c>
    </row>
    <row r="70">
      <c r="A70" s="4" t="inlineStr">
        <is>
          <t>2026-10-22</t>
        </is>
      </c>
      <c r="B70" s="5" t="inlineStr">
        <is>
          <t>Thu</t>
        </is>
      </c>
      <c r="C70" s="5" t="n">
        <v>5</v>
      </c>
      <c r="D70" s="5" t="inlineStr">
        <is>
          <t>build1</t>
        </is>
      </c>
      <c r="E70" s="14" t="inlineStr">
        <is>
          <t>strength</t>
        </is>
      </c>
      <c r="F70" s="7" t="inlineStr">
        <is>
          <t>Full body B — single-leg + press</t>
        </is>
      </c>
      <c r="G70" s="5" t="inlineStr">
        <is>
          <t>40–45 min</t>
        </is>
      </c>
      <c r="H70" s="8" t="n"/>
      <c r="I70" s="9" t="n"/>
      <c r="J70" s="10" t="n"/>
      <c r="K70" s="11" t="n"/>
      <c r="L70" s="12" t="n"/>
      <c r="M70" s="10" t="n"/>
      <c r="N70" s="10" t="n"/>
      <c r="O70" s="13" t="n"/>
      <c r="P70" s="7" t="inlineStr">
        <is>
          <t>Second full-body session — the quad day and the pressing day merged. Run first, lift after. The split squat stays heavier than Monday's; the seated calf raise is the soleus and gets the bigger calf dose of the week.</t>
        </is>
      </c>
    </row>
    <row r="71">
      <c r="A71" s="4" t="inlineStr">
        <is>
          <t>2026-10-23</t>
        </is>
      </c>
      <c r="B71" s="5" t="inlineStr">
        <is>
          <t>Fri</t>
        </is>
      </c>
      <c r="C71" s="5" t="n">
        <v>5</v>
      </c>
      <c r="D71" s="5" t="inlineStr">
        <is>
          <t>build1</t>
        </is>
      </c>
      <c r="E71" s="6" t="inlineStr">
        <is>
          <t>swim</t>
        </is>
      </c>
      <c r="F71" s="7" t="inlineStr">
        <is>
          <t>Swim — long aerobic 1,800</t>
        </is>
      </c>
      <c r="G71" s="5" t="inlineStr">
        <is>
          <t>3,000 yd · 67–88 min</t>
        </is>
      </c>
      <c r="H71" s="8" t="n">
        <v>3000</v>
      </c>
      <c r="I71" s="9" t="n"/>
      <c r="J71" s="10" t="n"/>
      <c r="K71" s="11" t="n"/>
      <c r="L71" s="12" t="n"/>
      <c r="M71" s="10" t="n"/>
      <c r="N71" s="10" t="n"/>
      <c r="O71" s="13" t="n"/>
      <c r="P71" s="7" t="inlineStr">
        <is>
          <t>Warm-up 300. Main: 1,800 continuous, then 6 × 100 at CSS on 2:20. Cool-down 300. Biggest swim week so far — roughly 8,800 yd. If the shoulders are tired, drop the 6 × 100 rather than the continuous swim.</t>
        </is>
      </c>
    </row>
    <row r="72">
      <c r="A72" s="4" t="inlineStr">
        <is>
          <t>2026-10-23</t>
        </is>
      </c>
      <c r="B72" s="5" t="inlineStr">
        <is>
          <t>Fri</t>
        </is>
      </c>
      <c r="C72" s="5" t="n">
        <v>5</v>
      </c>
      <c r="D72" s="5" t="inlineStr">
        <is>
          <t>build1</t>
        </is>
      </c>
      <c r="E72" s="5" t="inlineStr">
        <is>
          <t>mobility</t>
        </is>
      </c>
      <c r="F72" s="7" t="inlineStr">
        <is>
          <t>Mobility + lower-leg prehab</t>
        </is>
      </c>
      <c r="G72" s="5" t="inlineStr">
        <is>
          <t>15 min</t>
        </is>
      </c>
      <c r="H72" s="8" t="n"/>
      <c r="I72" s="9" t="n"/>
      <c r="J72" s="10" t="n"/>
      <c r="K72" s="11" t="n"/>
      <c r="L72" s="12" t="n"/>
      <c r="M72" s="10" t="n"/>
      <c r="N72" s="10" t="n"/>
      <c r="O72" s="13" t="n"/>
      <c r="P72" s="7" t="inlineStr">
        <is>
          <t>Ankle dorsiflexion (knee-to-wall), calf and soleus stretch, hip flexors, thoracic rotation, and 3 × 20 tibialis raises. Ten minutes of this beats an hour once a month. Friday used to carry the upper-body lift as well; with strength down to two sessions, that time is simply back.</t>
        </is>
      </c>
    </row>
    <row r="73">
      <c r="A73" s="4" t="inlineStr">
        <is>
          <t>2026-10-24</t>
        </is>
      </c>
      <c r="B73" s="5" t="inlineStr">
        <is>
          <t>Sat</t>
        </is>
      </c>
      <c r="C73" s="5" t="n">
        <v>5</v>
      </c>
      <c r="D73" s="5" t="inlineStr">
        <is>
          <t>build1</t>
        </is>
      </c>
      <c r="E73" s="15" t="inlineStr">
        <is>
          <t>run</t>
        </is>
      </c>
      <c r="F73" s="7" t="inlineStr">
        <is>
          <t>Long run — 5 km</t>
        </is>
      </c>
      <c r="G73" s="5" t="inlineStr">
        <is>
          <t>35–38 min</t>
        </is>
      </c>
      <c r="H73" s="8" t="n"/>
      <c r="I73" s="9" t="n">
        <v>5</v>
      </c>
      <c r="J73" s="10" t="n"/>
      <c r="K73" s="11" t="n"/>
      <c r="L73" s="12" t="n"/>
      <c r="M73" s="10" t="n"/>
      <c r="N73" s="10" t="n"/>
      <c r="O73" s="13" t="n"/>
      <c r="P73" s="7" t="inlineStr">
        <is>
          <t>Third run of the week and the longest of the three, but still short and easy. On Saturday this week because tomorrow is the flight — normally the long run floats between Saturday and Sunday around whatever the flex slot is doing. Run it before the ride or hike, not after.</t>
        </is>
      </c>
    </row>
    <row r="74">
      <c r="A74" s="4" t="inlineStr">
        <is>
          <t>2026-10-24</t>
        </is>
      </c>
      <c r="B74" s="5" t="inlineStr">
        <is>
          <t>Sat</t>
        </is>
      </c>
      <c r="C74" s="5" t="n">
        <v>5</v>
      </c>
      <c r="D74" s="5" t="inlineStr">
        <is>
          <t>build1</t>
        </is>
      </c>
      <c r="E74" s="5" t="inlineStr">
        <is>
          <t>cardio</t>
        </is>
      </c>
      <c r="F74" s="7" t="inlineStr">
        <is>
          <t>Weekend flex — ride, hike or ski</t>
        </is>
      </c>
      <c r="G74" s="5" t="inlineStr">
        <is>
          <t>1.5–2.5 hr</t>
        </is>
      </c>
      <c r="H74" s="8" t="n"/>
      <c r="I74" s="9" t="n"/>
      <c r="J74" s="10" t="n"/>
      <c r="K74" s="11" t="n"/>
      <c r="L74" s="12" t="n"/>
      <c r="M74" s="10" t="n"/>
      <c r="N74" s="10" t="n"/>
      <c r="O74" s="13" t="n"/>
      <c r="P74" s="7" t="inlineStr">
        <is>
          <t>Shorter than usual — you fly tomorrow and the long run is already in the legs. A relaxed ride or hike, or skip it entirely if packing eats the afternoon. Pack 15 lb if hiking.</t>
        </is>
      </c>
    </row>
    <row r="75">
      <c r="A75" s="4" t="inlineStr">
        <is>
          <t>2026-10-25</t>
        </is>
      </c>
      <c r="B75" s="5" t="inlineStr">
        <is>
          <t>Sun</t>
        </is>
      </c>
      <c r="C75" s="5" t="n">
        <v>5</v>
      </c>
      <c r="D75" s="5" t="inlineStr">
        <is>
          <t>build1</t>
        </is>
      </c>
      <c r="E75" s="5" t="inlineStr">
        <is>
          <t>mobility</t>
        </is>
      </c>
      <c r="F75" s="7" t="inlineStr">
        <is>
          <t>Travel mobility</t>
        </is>
      </c>
      <c r="G75" s="5" t="inlineStr">
        <is>
          <t>20 min</t>
        </is>
      </c>
      <c r="H75" s="8" t="n"/>
      <c r="I75" s="9" t="n"/>
      <c r="J75" s="10" t="n"/>
      <c r="K75" s="11" t="n"/>
      <c r="L75" s="12" t="n"/>
      <c r="M75" s="10" t="n"/>
      <c r="N75" s="10" t="n"/>
      <c r="O75" s="13" t="n"/>
      <c r="P75" s="7" t="inlineStr">
        <is>
          <t>Flight to New York. Mobility plus foot intrinsics before you leave, calf raises and ankle circles in the terminal. Pack running shoes, bands, goggles and a swim cap.</t>
        </is>
      </c>
    </row>
    <row r="76">
      <c r="A76" s="4" t="inlineStr">
        <is>
          <t>2026-10-26</t>
        </is>
      </c>
      <c r="B76" s="5" t="inlineStr">
        <is>
          <t>Mon</t>
        </is>
      </c>
      <c r="C76" s="5" t="n">
        <v>6</v>
      </c>
      <c r="D76" s="5" t="inlineStr">
        <is>
          <t>build1</t>
        </is>
      </c>
      <c r="E76" s="6" t="inlineStr">
        <is>
          <t>swim</t>
        </is>
      </c>
      <c r="F76" s="7" t="inlineStr">
        <is>
          <t>Swim — threshold 3 × (6 × 100), Chinatown YMCA</t>
        </is>
      </c>
      <c r="G76" s="5" t="inlineStr">
        <is>
          <t>3,000 yd · 67–88 min</t>
        </is>
      </c>
      <c r="H76" s="8" t="n">
        <v>3000</v>
      </c>
      <c r="I76" s="9" t="n"/>
      <c r="J76" s="10" t="n"/>
      <c r="K76" s="11" t="n"/>
      <c r="L76" s="12" t="n"/>
      <c r="M76" s="10" t="n"/>
      <c r="N76" s="10" t="n"/>
      <c r="O76" s="13" t="n"/>
      <c r="P76" s="7" t="inlineStr">
        <is>
          <t>Warm-up 500. Drill 400 as 8 × 50, each drill twice: front scull / single-arm / closed-fist / catch-up. Snorkel and fins if you packed them. Main: 3 rounds of 6 × 100 at CSS on 2:15, 1 min between rounds (1,800 total). Cool-down 300. Chinatown YMCA, 273 Bowery at E Houston — 25 yd, about a 14-minute walk. Go 6:30–9 am, when five lanes are open; lessons cut it to three from 9 to 11. Call 212-912-2460 first to confirm the day-pass price and that it includes lap swim, and bring a home YMCA card if you have one. Backup: Asphalt Green Battery Park City, $35 at the desk, five lanes 7–9 am.</t>
        </is>
      </c>
    </row>
    <row r="77">
      <c r="A77" s="4" t="inlineStr">
        <is>
          <t>2026-10-26</t>
        </is>
      </c>
      <c r="B77" s="5" t="inlineStr">
        <is>
          <t>Mon</t>
        </is>
      </c>
      <c r="C77" s="5" t="n">
        <v>6</v>
      </c>
      <c r="D77" s="5" t="inlineStr">
        <is>
          <t>build1</t>
        </is>
      </c>
      <c r="E77" s="14" t="inlineStr">
        <is>
          <t>strength</t>
        </is>
      </c>
      <c r="F77" s="7" t="inlineStr">
        <is>
          <t>Bands + bodyweight circuit</t>
        </is>
      </c>
      <c r="G77" s="5" t="inlineStr">
        <is>
          <t>40 min</t>
        </is>
      </c>
      <c r="H77" s="8" t="n"/>
      <c r="I77" s="9" t="n"/>
      <c r="J77" s="10" t="n"/>
      <c r="K77" s="11" t="n"/>
      <c r="L77" s="12" t="n"/>
      <c r="M77" s="10" t="n"/>
      <c r="N77" s="10" t="n"/>
      <c r="O77" s="13" t="n"/>
      <c r="P77" s="7" t="inlineStr">
        <is>
          <t>Travel circuit A — hinge + pull, the stand-in for Full body A. 3 rounds: single-leg RDL 10/leg, split squat 10/leg, band row 15, band pull-apart 15, straight-leg calf raise 20, tibialis raise 20, dead bug 10/side. If the day pass covers the Y weight room, do it there after the swim with dumbbells; otherwise bands at the apartment.</t>
        </is>
      </c>
    </row>
    <row r="78">
      <c r="A78" s="4" t="inlineStr">
        <is>
          <t>2026-10-27</t>
        </is>
      </c>
      <c r="B78" s="5" t="inlineStr">
        <is>
          <t>Tue</t>
        </is>
      </c>
      <c r="C78" s="5" t="n">
        <v>6</v>
      </c>
      <c r="D78" s="5" t="inlineStr">
        <is>
          <t>build1</t>
        </is>
      </c>
      <c r="E78" s="15" t="inlineStr">
        <is>
          <t>run</t>
        </is>
      </c>
      <c r="F78" s="7" t="inlineStr">
        <is>
          <t>Easy run — 4 km</t>
        </is>
      </c>
      <c r="G78" s="5" t="inlineStr">
        <is>
          <t>30 min</t>
        </is>
      </c>
      <c r="H78" s="8" t="n"/>
      <c r="I78" s="9" t="n">
        <v>4</v>
      </c>
      <c r="J78" s="10" t="n"/>
      <c r="K78" s="11" t="n"/>
      <c r="L78" s="12" t="n"/>
      <c r="M78" s="10" t="n"/>
      <c r="N78" s="10" t="n"/>
      <c r="O78" s="13" t="n"/>
      <c r="P78" s="7" t="inlineStr">
        <is>
          <t>First New York run, two days after the flight. The East River esplanade is a few blocks east of Attorney St — flat and paved, so keep it easy and the cadence high.</t>
        </is>
      </c>
    </row>
    <row r="79">
      <c r="A79" s="4" t="inlineStr">
        <is>
          <t>2026-10-27</t>
        </is>
      </c>
      <c r="B79" s="5" t="inlineStr">
        <is>
          <t>Tue</t>
        </is>
      </c>
      <c r="C79" s="5" t="n">
        <v>6</v>
      </c>
      <c r="D79" s="5" t="inlineStr">
        <is>
          <t>build1</t>
        </is>
      </c>
      <c r="E79" s="5" t="inlineStr">
        <is>
          <t>mobility</t>
        </is>
      </c>
      <c r="F79" s="7" t="inlineStr">
        <is>
          <t>Mobility + lower-leg prehab</t>
        </is>
      </c>
      <c r="G79" s="5" t="inlineStr">
        <is>
          <t>15 min</t>
        </is>
      </c>
      <c r="H79" s="8" t="n"/>
      <c r="I79" s="9" t="n"/>
      <c r="J79" s="10" t="n"/>
      <c r="K79" s="11" t="n"/>
      <c r="L79" s="12" t="n"/>
      <c r="M79" s="10" t="n"/>
      <c r="N79" s="10" t="n"/>
      <c r="O79" s="13" t="n"/>
      <c r="P79" s="7" t="inlineStr">
        <is>
          <t>Travel mobility: hips, calves, thoracic spine. Flights make the ankles stiff — knee-to-wall check.</t>
        </is>
      </c>
    </row>
    <row r="80">
      <c r="A80" s="4" t="inlineStr">
        <is>
          <t>2026-10-28</t>
        </is>
      </c>
      <c r="B80" s="5" t="inlineStr">
        <is>
          <t>Wed</t>
        </is>
      </c>
      <c r="C80" s="5" t="n">
        <v>6</v>
      </c>
      <c r="D80" s="5" t="inlineStr">
        <is>
          <t>build1</t>
        </is>
      </c>
      <c r="E80" s="14" t="inlineStr">
        <is>
          <t>strength</t>
        </is>
      </c>
      <c r="F80" s="7" t="inlineStr">
        <is>
          <t>Bands + bodyweight circuit</t>
        </is>
      </c>
      <c r="G80" s="5" t="inlineStr">
        <is>
          <t>40 min</t>
        </is>
      </c>
      <c r="H80" s="8" t="n"/>
      <c r="I80" s="9" t="n"/>
      <c r="J80" s="10" t="n"/>
      <c r="K80" s="11" t="n"/>
      <c r="L80" s="12" t="n"/>
      <c r="M80" s="10" t="n"/>
      <c r="N80" s="10" t="n"/>
      <c r="O80" s="13" t="n"/>
      <c r="P80" s="7" t="inlineStr">
        <is>
          <t>Travel circuit B — single-leg + press, the stand-in for Full body B. 3 rounds: rear-foot-elevated split squat 10/leg (back foot on a chair or bed), step-up 10/leg, push-up 12–15, band row 15, bent-knee calf raise 25 (the soleus dose, hold a bag for load), Copenhagen plank 20 s/side, banded lateral walk 15/side.</t>
        </is>
      </c>
    </row>
    <row r="81">
      <c r="A81" s="4" t="inlineStr">
        <is>
          <t>2026-10-28</t>
        </is>
      </c>
      <c r="B81" s="5" t="inlineStr">
        <is>
          <t>Wed</t>
        </is>
      </c>
      <c r="C81" s="5" t="n">
        <v>6</v>
      </c>
      <c r="D81" s="5" t="inlineStr">
        <is>
          <t>build1</t>
        </is>
      </c>
      <c r="E81" s="5" t="inlineStr">
        <is>
          <t>mobility</t>
        </is>
      </c>
      <c r="F81" s="7" t="inlineStr">
        <is>
          <t>Mobility + lower-leg prehab</t>
        </is>
      </c>
      <c r="G81" s="5" t="inlineStr">
        <is>
          <t>15 min</t>
        </is>
      </c>
      <c r="H81" s="8" t="n"/>
      <c r="I81" s="9" t="n"/>
      <c r="J81" s="10" t="n"/>
      <c r="K81" s="11" t="n"/>
      <c r="L81" s="12" t="n"/>
      <c r="M81" s="10" t="n"/>
      <c r="N81" s="10" t="n"/>
      <c r="O81" s="13" t="n"/>
      <c r="P81" s="7" t="inlineStr">
        <is>
          <t>Ankle dorsiflexion (knee-to-wall), calf and soleus stretch, hip flexors, thoracic rotation, and 3 × 20 tibialis raises. Ten minutes of this beats an hour once a month.</t>
        </is>
      </c>
    </row>
    <row r="82">
      <c r="A82" s="4" t="inlineStr">
        <is>
          <t>2026-10-29</t>
        </is>
      </c>
      <c r="B82" s="5" t="inlineStr">
        <is>
          <t>Thu</t>
        </is>
      </c>
      <c r="C82" s="5" t="n">
        <v>6</v>
      </c>
      <c r="D82" s="5" t="inlineStr">
        <is>
          <t>build1</t>
        </is>
      </c>
      <c r="E82" s="6" t="inlineStr">
        <is>
          <t>swim</t>
        </is>
      </c>
      <c r="F82" s="7" t="inlineStr">
        <is>
          <t>Swim — long aerobic 1,600, Chinatown YMCA</t>
        </is>
      </c>
      <c r="G82" s="5" t="inlineStr">
        <is>
          <t>3,200 yd · 71–94 min</t>
        </is>
      </c>
      <c r="H82" s="8" t="n">
        <v>3200</v>
      </c>
      <c r="I82" s="9" t="n"/>
      <c r="J82" s="10" t="n"/>
      <c r="K82" s="11" t="n"/>
      <c r="L82" s="12" t="n"/>
      <c r="M82" s="10" t="n"/>
      <c r="N82" s="10" t="n"/>
      <c r="O82" s="13" t="n"/>
      <c r="P82" s="7" t="inlineStr">
        <is>
          <t>Warm-up 400. Drill 400. Main: 1,600 continuous aerobic, then 8 × 50 on 1:05. Cool-down 400. Morning again — lessons cut the Y to three lanes from 4 to 7:30 pm on Thursdays. Two swims at 6,200 yd keep the weekly streak intact; the next swim is Wednesday in Seattle.</t>
        </is>
      </c>
    </row>
    <row r="83">
      <c r="A83" s="4" t="inlineStr">
        <is>
          <t>2026-10-29</t>
        </is>
      </c>
      <c r="B83" s="5" t="inlineStr">
        <is>
          <t>Thu</t>
        </is>
      </c>
      <c r="C83" s="5" t="n">
        <v>6</v>
      </c>
      <c r="D83" s="5" t="inlineStr">
        <is>
          <t>build1</t>
        </is>
      </c>
      <c r="E83" s="15" t="inlineStr">
        <is>
          <t>run</t>
        </is>
      </c>
      <c r="F83" s="7" t="inlineStr">
        <is>
          <t>Easy run — 4 km</t>
        </is>
      </c>
      <c r="G83" s="5" t="inlineStr">
        <is>
          <t>30–32 min</t>
        </is>
      </c>
      <c r="H83" s="8" t="n"/>
      <c r="I83" s="9" t="n">
        <v>4</v>
      </c>
      <c r="J83" s="10" t="n"/>
      <c r="K83" s="11" t="n"/>
      <c r="L83" s="12" t="n"/>
      <c r="M83" s="10" t="n"/>
      <c r="N83" s="10" t="n"/>
      <c r="O83" s="13" t="n"/>
      <c r="P83" s="7" t="inlineStr">
        <is>
          <t>Swim in the morning, run later. If you are uptown anyway, the Central Park reservoir loop is 2.5 km of soft cinder, the best surface in Manhattan for your shins. Otherwise the esplanade again.</t>
        </is>
      </c>
    </row>
    <row r="84">
      <c r="A84" s="4" t="inlineStr">
        <is>
          <t>2026-10-30</t>
        </is>
      </c>
      <c r="B84" s="5" t="inlineStr">
        <is>
          <t>Fri</t>
        </is>
      </c>
      <c r="C84" s="5" t="n">
        <v>6</v>
      </c>
      <c r="D84" s="5" t="inlineStr">
        <is>
          <t>build1</t>
        </is>
      </c>
      <c r="E84" s="5" t="inlineStr">
        <is>
          <t>mobility</t>
        </is>
      </c>
      <c r="F84" s="7" t="inlineStr">
        <is>
          <t>Rest + mobility</t>
        </is>
      </c>
      <c r="G84" s="5" t="inlineStr">
        <is>
          <t>25 min</t>
        </is>
      </c>
      <c r="H84" s="8" t="n"/>
      <c r="I84" s="9" t="n"/>
      <c r="J84" s="10" t="n"/>
      <c r="K84" s="11" t="n"/>
      <c r="L84" s="12" t="n"/>
      <c r="M84" s="10" t="n"/>
      <c r="N84" s="10" t="n"/>
      <c r="O84" s="13" t="n"/>
      <c r="P84" s="7" t="inlineStr">
        <is>
          <t>Rest day: no training, just walk the city. Full mobility: hips, calves, thoracic spine, foot intrinsics. Fresh legs for tomorrow's long run.</t>
        </is>
      </c>
    </row>
    <row r="85">
      <c r="A85" s="4" t="inlineStr">
        <is>
          <t>2026-10-31</t>
        </is>
      </c>
      <c r="B85" s="5" t="inlineStr">
        <is>
          <t>Sat</t>
        </is>
      </c>
      <c r="C85" s="5" t="n">
        <v>6</v>
      </c>
      <c r="D85" s="5" t="inlineStr">
        <is>
          <t>build1</t>
        </is>
      </c>
      <c r="E85" s="15" t="inlineStr">
        <is>
          <t>run</t>
        </is>
      </c>
      <c r="F85" s="7" t="inlineStr">
        <is>
          <t>Long run — 6 km</t>
        </is>
      </c>
      <c r="G85" s="5" t="inlineStr">
        <is>
          <t>42–48 min</t>
        </is>
      </c>
      <c r="H85" s="8" t="n"/>
      <c r="I85" s="9" t="n">
        <v>6</v>
      </c>
      <c r="J85" s="10" t="n"/>
      <c r="K85" s="11" t="n"/>
      <c r="L85" s="12" t="n"/>
      <c r="M85" s="10" t="n"/>
      <c r="N85" s="10" t="n"/>
      <c r="O85" s="13" t="n"/>
      <c r="P85" s="7" t="inlineStr">
        <is>
          <t>Longest run of the week. Central Park fills up with marathon-weekend setup, so stay downtown — East River esplanade, easy pace, cadence 175–180. Sunday is the flex slot, so it does not float this week.</t>
        </is>
      </c>
    </row>
    <row r="86">
      <c r="A86" s="4" t="inlineStr">
        <is>
          <t>2026-10-31</t>
        </is>
      </c>
      <c r="B86" s="5" t="inlineStr">
        <is>
          <t>Sat</t>
        </is>
      </c>
      <c r="C86" s="5" t="n">
        <v>6</v>
      </c>
      <c r="D86" s="5" t="inlineStr">
        <is>
          <t>build1</t>
        </is>
      </c>
      <c r="E86" s="5" t="inlineStr">
        <is>
          <t>mobility</t>
        </is>
      </c>
      <c r="F86" s="7" t="inlineStr">
        <is>
          <t>Mobility + lower-leg prehab</t>
        </is>
      </c>
      <c r="G86" s="5" t="inlineStr">
        <is>
          <t>15 min</t>
        </is>
      </c>
      <c r="H86" s="8" t="n"/>
      <c r="I86" s="9" t="n"/>
      <c r="J86" s="10" t="n"/>
      <c r="K86" s="11" t="n"/>
      <c r="L86" s="12" t="n"/>
      <c r="M86" s="10" t="n"/>
      <c r="N86" s="10" t="n"/>
      <c r="O86" s="13" t="n"/>
      <c r="P86" s="7" t="inlineStr">
        <is>
          <t>Ankle dorsiflexion (knee-to-wall), calf and soleus stretch, hip flexors, thoracic rotation, and 3 × 20 tibialis raises. Ten minutes of this beats an hour once a month.</t>
        </is>
      </c>
    </row>
    <row r="87">
      <c r="A87" s="4" t="inlineStr">
        <is>
          <t>2026-11-01</t>
        </is>
      </c>
      <c r="B87" s="5" t="inlineStr">
        <is>
          <t>Sun</t>
        </is>
      </c>
      <c r="C87" s="5" t="n">
        <v>6</v>
      </c>
      <c r="D87" s="5" t="inlineStr">
        <is>
          <t>build1</t>
        </is>
      </c>
      <c r="E87" s="5" t="inlineStr">
        <is>
          <t>cardio</t>
        </is>
      </c>
      <c r="F87" s="7" t="inlineStr">
        <is>
          <t>Weekend flex — Citi Bike or long walk</t>
        </is>
      </c>
      <c r="G87" s="5" t="inlineStr">
        <is>
          <t>1–2 hr</t>
        </is>
      </c>
      <c r="H87" s="8" t="n"/>
      <c r="I87" s="9" t="n"/>
      <c r="J87" s="10" t="n"/>
      <c r="K87" s="11" t="n"/>
      <c r="L87" s="12" t="n"/>
      <c r="M87" s="10" t="n"/>
      <c r="N87" s="10" t="n"/>
      <c r="O87" s="13" t="n"/>
      <c r="P87" s="7" t="inlineStr">
        <is>
          <t>Marathon Sunday. Walk up to First Avenue to watch the race come through, or take a Citi Bike up the Hudson River Greenway — easy either way. No run: three runs and 14 km is this week's cap, and you already hit it.</t>
        </is>
      </c>
    </row>
    <row r="88">
      <c r="A88" s="4" t="inlineStr">
        <is>
          <t>2026-11-01</t>
        </is>
      </c>
      <c r="B88" s="5" t="inlineStr">
        <is>
          <t>Sun</t>
        </is>
      </c>
      <c r="C88" s="5" t="n">
        <v>6</v>
      </c>
      <c r="D88" s="5" t="inlineStr">
        <is>
          <t>build1</t>
        </is>
      </c>
      <c r="E88" s="5" t="inlineStr">
        <is>
          <t>mobility</t>
        </is>
      </c>
      <c r="F88" s="7" t="inlineStr">
        <is>
          <t>Mobility + lower-leg prehab</t>
        </is>
      </c>
      <c r="G88" s="5" t="inlineStr">
        <is>
          <t>15 min</t>
        </is>
      </c>
      <c r="H88" s="8" t="n"/>
      <c r="I88" s="9" t="n"/>
      <c r="J88" s="10" t="n"/>
      <c r="K88" s="11" t="n"/>
      <c r="L88" s="12" t="n"/>
      <c r="M88" s="10" t="n"/>
      <c r="N88" s="10" t="n"/>
      <c r="O88" s="13" t="n"/>
      <c r="P88" s="7" t="inlineStr">
        <is>
          <t>Mobility plus foot intrinsics.</t>
        </is>
      </c>
    </row>
    <row r="89">
      <c r="A89" s="4" t="inlineStr">
        <is>
          <t>2026-11-02</t>
        </is>
      </c>
      <c r="B89" s="5" t="inlineStr">
        <is>
          <t>Mon</t>
        </is>
      </c>
      <c r="C89" s="5" t="n">
        <v>7</v>
      </c>
      <c r="D89" s="5" t="inlineStr">
        <is>
          <t>build1</t>
        </is>
      </c>
      <c r="E89" s="15" t="inlineStr">
        <is>
          <t>run</t>
        </is>
      </c>
      <c r="F89" s="7" t="inlineStr">
        <is>
          <t>Easy run — 4 km</t>
        </is>
      </c>
      <c r="G89" s="5" t="inlineStr">
        <is>
          <t>30–32 min</t>
        </is>
      </c>
      <c r="H89" s="8" t="n"/>
      <c r="I89" s="9" t="n">
        <v>4</v>
      </c>
      <c r="J89" s="10" t="n"/>
      <c r="K89" s="11" t="n"/>
      <c r="L89" s="12" t="n"/>
      <c r="M89" s="10" t="n"/>
      <c r="N89" s="10" t="n"/>
      <c r="O89" s="13" t="n"/>
      <c r="P89" s="7" t="inlineStr">
        <is>
          <t>Last full New York morning.</t>
        </is>
      </c>
    </row>
    <row r="90">
      <c r="A90" s="4" t="inlineStr">
        <is>
          <t>2026-11-02</t>
        </is>
      </c>
      <c r="B90" s="5" t="inlineStr">
        <is>
          <t>Mon</t>
        </is>
      </c>
      <c r="C90" s="5" t="n">
        <v>7</v>
      </c>
      <c r="D90" s="5" t="inlineStr">
        <is>
          <t>build1</t>
        </is>
      </c>
      <c r="E90" s="14" t="inlineStr">
        <is>
          <t>strength</t>
        </is>
      </c>
      <c r="F90" s="7" t="inlineStr">
        <is>
          <t>Bands + bodyweight circuit</t>
        </is>
      </c>
      <c r="G90" s="5" t="inlineStr">
        <is>
          <t>40 min</t>
        </is>
      </c>
      <c r="H90" s="8" t="n"/>
      <c r="I90" s="9" t="n"/>
      <c r="J90" s="10" t="n"/>
      <c r="K90" s="11" t="n"/>
      <c r="L90" s="12" t="n"/>
      <c r="M90" s="10" t="n"/>
      <c r="N90" s="10" t="n"/>
      <c r="O90" s="13" t="n"/>
      <c r="P90" s="7" t="inlineStr">
        <is>
          <t>Travel circuit A again, 3 rounds — same as last Monday. Travel strength is about frequency, not load.</t>
        </is>
      </c>
    </row>
    <row r="91">
      <c r="A91" s="4" t="inlineStr">
        <is>
          <t>2026-11-03</t>
        </is>
      </c>
      <c r="B91" s="5" t="inlineStr">
        <is>
          <t>Tue</t>
        </is>
      </c>
      <c r="C91" s="5" t="n">
        <v>7</v>
      </c>
      <c r="D91" s="5" t="inlineStr">
        <is>
          <t>build1</t>
        </is>
      </c>
      <c r="E91" s="5" t="inlineStr">
        <is>
          <t>mobility</t>
        </is>
      </c>
      <c r="F91" s="7" t="inlineStr">
        <is>
          <t>Travel mobility</t>
        </is>
      </c>
      <c r="G91" s="5" t="inlineStr">
        <is>
          <t>20 min</t>
        </is>
      </c>
      <c r="H91" s="8" t="n"/>
      <c r="I91" s="9" t="n"/>
      <c r="J91" s="10" t="n"/>
      <c r="K91" s="11" t="n"/>
      <c r="L91" s="12" t="n"/>
      <c r="M91" s="10" t="n"/>
      <c r="N91" s="10" t="n"/>
      <c r="O91" s="13" t="n"/>
      <c r="P91" s="7" t="inlineStr">
        <is>
          <t>Travel day — mobility only, no run. Calf raises in the terminal, ankle circles on the plane. This is a planned down week: 3 runs and 12 km total.</t>
        </is>
      </c>
    </row>
    <row r="92">
      <c r="A92" s="4" t="inlineStr">
        <is>
          <t>2026-11-04</t>
        </is>
      </c>
      <c r="B92" s="5" t="inlineStr">
        <is>
          <t>Wed</t>
        </is>
      </c>
      <c r="C92" s="5" t="n">
        <v>7</v>
      </c>
      <c r="D92" s="5" t="inlineStr">
        <is>
          <t>build1</t>
        </is>
      </c>
      <c r="E92" s="6" t="inlineStr">
        <is>
          <t>swim</t>
        </is>
      </c>
      <c r="F92" s="7" t="inlineStr">
        <is>
          <t>Swim — easy re-entry</t>
        </is>
      </c>
      <c r="G92" s="5" t="inlineStr">
        <is>
          <t>1,800 yd · 40–53 min</t>
        </is>
      </c>
      <c r="H92" s="8" t="n">
        <v>1800</v>
      </c>
      <c r="I92" s="9" t="n"/>
      <c r="J92" s="10" t="n"/>
      <c r="K92" s="11" t="n"/>
      <c r="L92" s="12" t="n"/>
      <c r="M92" s="10" t="n"/>
      <c r="N92" s="10" t="n"/>
      <c r="O92" s="13" t="n"/>
      <c r="P92" s="7" t="inlineStr">
        <is>
          <t>Warm-up 300. Drill 500 as 10 × 50, each drill twice: 6-1-6 / breaststroke timing / front scull / single-arm / closed-fist — rebuild the feel before asking for pace. Fins throughout; snorkel off for 6-1-6 and breaststroke timing. Main 8 × 100 on 2:30 aerobic. Cool-down 200. NO PADDLES this week; five days out of the water means the shoulders get eased back in.</t>
        </is>
      </c>
    </row>
    <row r="93">
      <c r="A93" s="4" t="inlineStr">
        <is>
          <t>2026-11-04</t>
        </is>
      </c>
      <c r="B93" s="5" t="inlineStr">
        <is>
          <t>Wed</t>
        </is>
      </c>
      <c r="C93" s="5" t="n">
        <v>7</v>
      </c>
      <c r="D93" s="5" t="inlineStr">
        <is>
          <t>build1</t>
        </is>
      </c>
      <c r="E93" s="16" t="inlineStr">
        <is>
          <t>bike</t>
        </is>
      </c>
      <c r="F93" s="7" t="inlineStr">
        <is>
          <t>Easy spin</t>
        </is>
      </c>
      <c r="G93" s="5" t="inlineStr">
        <is>
          <t>40 min</t>
        </is>
      </c>
      <c r="H93" s="8" t="n"/>
      <c r="I93" s="9" t="n"/>
      <c r="J93" s="10" t="n"/>
      <c r="K93" s="11" t="n"/>
      <c r="L93" s="12" t="n"/>
      <c r="M93" s="10" t="n"/>
      <c r="N93" s="10" t="n"/>
      <c r="O93" s="13" t="n"/>
      <c r="P93" s="7" t="inlineStr">
        <is>
          <t>Zone 2, legs turning over after travel.</t>
        </is>
      </c>
    </row>
    <row r="94">
      <c r="A94" s="4" t="inlineStr">
        <is>
          <t>2026-11-04</t>
        </is>
      </c>
      <c r="B94" s="5" t="inlineStr">
        <is>
          <t>Wed</t>
        </is>
      </c>
      <c r="C94" s="5" t="n">
        <v>7</v>
      </c>
      <c r="D94" s="5" t="inlineStr">
        <is>
          <t>build1</t>
        </is>
      </c>
      <c r="E94" s="5" t="inlineStr">
        <is>
          <t>mobility</t>
        </is>
      </c>
      <c r="F94" s="7" t="inlineStr">
        <is>
          <t>Mobility + lower-leg prehab</t>
        </is>
      </c>
      <c r="G94" s="5" t="inlineStr">
        <is>
          <t>15 min</t>
        </is>
      </c>
      <c r="H94" s="8" t="n"/>
      <c r="I94" s="9" t="n"/>
      <c r="J94" s="10" t="n"/>
      <c r="K94" s="11" t="n"/>
      <c r="L94" s="12" t="n"/>
      <c r="M94" s="10" t="n"/>
      <c r="N94" s="10" t="n"/>
      <c r="O94" s="13" t="n"/>
      <c r="P94" s="7" t="inlineStr">
        <is>
          <t>Ankle dorsiflexion (knee-to-wall), calf and soleus stretch, hip flexors, thoracic rotation, and 3 × 20 tibialis raises. Ten minutes of this beats an hour once a month.</t>
        </is>
      </c>
    </row>
    <row r="95">
      <c r="A95" s="4" t="inlineStr">
        <is>
          <t>2026-11-05</t>
        </is>
      </c>
      <c r="B95" s="5" t="inlineStr">
        <is>
          <t>Thu</t>
        </is>
      </c>
      <c r="C95" s="5" t="n">
        <v>7</v>
      </c>
      <c r="D95" s="5" t="inlineStr">
        <is>
          <t>build1</t>
        </is>
      </c>
      <c r="E95" s="6" t="inlineStr">
        <is>
          <t>swim</t>
        </is>
      </c>
      <c r="F95" s="7" t="inlineStr">
        <is>
          <t>Swim — technique + threshold</t>
        </is>
      </c>
      <c r="G95" s="5" t="inlineStr">
        <is>
          <t>2,400 yd · 53–71 min</t>
        </is>
      </c>
      <c r="H95" s="8" t="n">
        <v>2400</v>
      </c>
      <c r="I95" s="9" t="n"/>
      <c r="J95" s="10" t="n"/>
      <c r="K95" s="11" t="n"/>
      <c r="L95" s="12" t="n"/>
      <c r="M95" s="10" t="n"/>
      <c r="N95" s="10" t="n"/>
      <c r="O95" s="13" t="n"/>
      <c r="P95" s="7" t="inlineStr">
        <is>
          <t>Warm-up 300. Drill 500 as 10 × 50, each drill twice: catch-up / 6-1-6 / 3/5/3 breathing / left-breathing single-arm / breathe-3. Fins throughout; snorkel off for everything except catch-up. This is the ladder's graduation test — five weeks after the left side sank in the Oct 2 long swim, breathe-3 reappears, but only as a 50 with rest on either end. The question to answer honestly: do the hips stay up for a full 50? If yes, the ladder worked and Week 10 puts it back inside continuous swimming. If no, drop back to left-breathing single-arm and there is no cost to doing so. Main 12 × 50 on 1:15 aerobic, every third one fast. Then 6 × 100 at CSS on 2:15 — this is the week's threshold work, moved here off the old Friday slot so the weekend stays free. Then 4 × 50 breaststroke. Cool-down 200.</t>
        </is>
      </c>
    </row>
    <row r="96">
      <c r="A96" s="4" t="inlineStr">
        <is>
          <t>2026-11-05</t>
        </is>
      </c>
      <c r="B96" s="5" t="inlineStr">
        <is>
          <t>Thu</t>
        </is>
      </c>
      <c r="C96" s="5" t="n">
        <v>7</v>
      </c>
      <c r="D96" s="5" t="inlineStr">
        <is>
          <t>build1</t>
        </is>
      </c>
      <c r="E96" s="14" t="inlineStr">
        <is>
          <t>strength</t>
        </is>
      </c>
      <c r="F96" s="7" t="inlineStr">
        <is>
          <t>Full body A — hinge + pull</t>
        </is>
      </c>
      <c r="G96" s="5" t="inlineStr">
        <is>
          <t>40–45 min</t>
        </is>
      </c>
      <c r="H96" s="8" t="n"/>
      <c r="I96" s="9" t="n"/>
      <c r="J96" s="10" t="n"/>
      <c r="K96" s="11" t="n"/>
      <c r="L96" s="12" t="n"/>
      <c r="M96" s="10" t="n"/>
      <c r="N96" s="10" t="n"/>
      <c r="O96" s="13" t="n"/>
      <c r="P96" s="7" t="inlineStr">
        <is>
          <t>First full-gym lift since New York. Back the loads off about 10% on the RDL and pull-ups — a week of travel strength is not the same stimulus — and build back from there.</t>
        </is>
      </c>
    </row>
    <row r="97">
      <c r="A97" s="4" t="inlineStr">
        <is>
          <t>2026-11-06</t>
        </is>
      </c>
      <c r="B97" s="5" t="inlineStr">
        <is>
          <t>Fri</t>
        </is>
      </c>
      <c r="C97" s="5" t="n">
        <v>7</v>
      </c>
      <c r="D97" s="5" t="inlineStr">
        <is>
          <t>build1</t>
        </is>
      </c>
      <c r="E97" s="6" t="inlineStr">
        <is>
          <t>swim</t>
        </is>
      </c>
      <c r="F97" s="7" t="inlineStr">
        <is>
          <t>Swim — long aerobic 1,400</t>
        </is>
      </c>
      <c r="G97" s="5" t="inlineStr">
        <is>
          <t>2,800 yd · 62–82 min</t>
        </is>
      </c>
      <c r="H97" s="8" t="n">
        <v>2800</v>
      </c>
      <c r="I97" s="9" t="n"/>
      <c r="J97" s="10" t="n"/>
      <c r="K97" s="11" t="n"/>
      <c r="L97" s="12" t="n"/>
      <c r="M97" s="10" t="n"/>
      <c r="N97" s="10" t="n"/>
      <c r="O97" s="13" t="n"/>
      <c r="P97" s="7" t="inlineStr">
        <is>
          <t>Warm-up 400. Main: 1,400 continuous, then 6 × 100 at CSS on 2:20. Cool-down 400. Third swim in three days and the biggest of the week — it sits on Friday now rather than Saturday, so the weekend is yours. If the shoulders are heavy, drop the 6 × 100 rather than the continuous swim.</t>
        </is>
      </c>
    </row>
    <row r="98">
      <c r="A98" s="4" t="inlineStr">
        <is>
          <t>2026-11-06</t>
        </is>
      </c>
      <c r="B98" s="5" t="inlineStr">
        <is>
          <t>Fri</t>
        </is>
      </c>
      <c r="C98" s="5" t="n">
        <v>7</v>
      </c>
      <c r="D98" s="5" t="inlineStr">
        <is>
          <t>build1</t>
        </is>
      </c>
      <c r="E98" s="15" t="inlineStr">
        <is>
          <t>run</t>
        </is>
      </c>
      <c r="F98" s="7" t="inlineStr">
        <is>
          <t>Easy run — 3 km</t>
        </is>
      </c>
      <c r="G98" s="5" t="inlineStr">
        <is>
          <t>22–25 min</t>
        </is>
      </c>
      <c r="H98" s="8" t="n"/>
      <c r="I98" s="9" t="n">
        <v>3</v>
      </c>
      <c r="J98" s="10" t="n"/>
      <c r="K98" s="11" t="n"/>
      <c r="L98" s="12" t="n"/>
      <c r="M98" s="10" t="n"/>
      <c r="N98" s="10" t="n"/>
      <c r="O98" s="13" t="n"/>
      <c r="P98" s="7" t="inlineStr">
        <is>
          <t>Down-week running. Deliberately short.</t>
        </is>
      </c>
    </row>
    <row r="99">
      <c r="A99" s="4" t="inlineStr">
        <is>
          <t>2026-11-07</t>
        </is>
      </c>
      <c r="B99" s="5" t="inlineStr">
        <is>
          <t>Sat</t>
        </is>
      </c>
      <c r="C99" s="5" t="n">
        <v>7</v>
      </c>
      <c r="D99" s="5" t="inlineStr">
        <is>
          <t>build1</t>
        </is>
      </c>
      <c r="E99" s="5" t="inlineStr">
        <is>
          <t>cardio</t>
        </is>
      </c>
      <c r="F99" s="7" t="inlineStr">
        <is>
          <t>Weekend flex — ride, hike or ski</t>
        </is>
      </c>
      <c r="G99" s="5" t="inlineStr">
        <is>
          <t>1.5–2.5 hr</t>
        </is>
      </c>
      <c r="H99" s="8" t="n"/>
      <c r="I99" s="9" t="n"/>
      <c r="J99" s="10" t="n"/>
      <c r="K99" s="11" t="n"/>
      <c r="L99" s="12" t="n"/>
      <c r="M99" s="10" t="n"/>
      <c r="N99" s="10" t="n"/>
      <c r="O99" s="13" t="n"/>
      <c r="P99" s="7" t="inlineStr">
        <is>
          <t>First free weekend after the trip — ride, hike or ski, all easy. It is the week's second ride either way. Down week, so keep it conversational.</t>
        </is>
      </c>
    </row>
    <row r="100">
      <c r="A100" s="4" t="inlineStr">
        <is>
          <t>2026-11-08</t>
        </is>
      </c>
      <c r="B100" s="5" t="inlineStr">
        <is>
          <t>Sun</t>
        </is>
      </c>
      <c r="C100" s="5" t="n">
        <v>7</v>
      </c>
      <c r="D100" s="5" t="inlineStr">
        <is>
          <t>build1</t>
        </is>
      </c>
      <c r="E100" s="15" t="inlineStr">
        <is>
          <t>run</t>
        </is>
      </c>
      <c r="F100" s="7" t="inlineStr">
        <is>
          <t>Long run — 5 km</t>
        </is>
      </c>
      <c r="G100" s="5" t="inlineStr">
        <is>
          <t>34–38 min</t>
        </is>
      </c>
      <c r="H100" s="8" t="n"/>
      <c r="I100" s="9" t="n">
        <v>5</v>
      </c>
      <c r="J100" s="10" t="n"/>
      <c r="K100" s="11" t="n"/>
      <c r="L100" s="12" t="n"/>
      <c r="M100" s="10" t="n"/>
      <c r="N100" s="10" t="n"/>
      <c r="O100" s="13" t="n"/>
      <c r="P100" s="7" t="inlineStr">
        <is>
          <t>Easy long run to close a down week. Soft surface. Sunday by default, Saturday if the flex slot wants Sunday. Next week the long run steps up to race distance.</t>
        </is>
      </c>
    </row>
    <row r="101">
      <c r="A101" s="4" t="inlineStr">
        <is>
          <t>2026-11-08</t>
        </is>
      </c>
      <c r="B101" s="5" t="inlineStr">
        <is>
          <t>Sun</t>
        </is>
      </c>
      <c r="C101" s="5" t="n">
        <v>7</v>
      </c>
      <c r="D101" s="5" t="inlineStr">
        <is>
          <t>build1</t>
        </is>
      </c>
      <c r="E101" s="5" t="inlineStr">
        <is>
          <t>mobility</t>
        </is>
      </c>
      <c r="F101" s="7" t="inlineStr">
        <is>
          <t>Mobility + lower-leg prehab</t>
        </is>
      </c>
      <c r="G101" s="5" t="inlineStr">
        <is>
          <t>20 min</t>
        </is>
      </c>
      <c r="H101" s="8" t="n"/>
      <c r="I101" s="9" t="n"/>
      <c r="J101" s="10" t="n"/>
      <c r="K101" s="11" t="n"/>
      <c r="L101" s="12" t="n"/>
      <c r="M101" s="10" t="n"/>
      <c r="N101" s="10" t="n"/>
      <c r="O101" s="13" t="n"/>
      <c r="P101" s="7" t="inlineStr">
        <is>
          <t>Mobility plus foot intrinsics.</t>
        </is>
      </c>
    </row>
    <row r="102">
      <c r="A102" s="4" t="inlineStr">
        <is>
          <t>2026-11-09</t>
        </is>
      </c>
      <c r="B102" s="5" t="inlineStr">
        <is>
          <t>Mon</t>
        </is>
      </c>
      <c r="C102" s="5" t="n">
        <v>8</v>
      </c>
      <c r="D102" s="5" t="inlineStr">
        <is>
          <t>build2</t>
        </is>
      </c>
      <c r="E102" s="6" t="inlineStr">
        <is>
          <t>swim</t>
        </is>
      </c>
      <c r="F102" s="7" t="inlineStr">
        <is>
          <t>Swim — CSS RETEST (400 + 200 TT)</t>
        </is>
      </c>
      <c r="G102" s="5" t="inlineStr">
        <is>
          <t>1,600 yd · 36–47 min</t>
        </is>
      </c>
      <c r="H102" s="8" t="n">
        <v>1600</v>
      </c>
      <c r="I102" s="9" t="n"/>
      <c r="J102" s="10" t="n"/>
      <c r="K102" s="11" t="n"/>
      <c r="L102" s="12" t="n"/>
      <c r="M102" s="10" t="n"/>
      <c r="N102" s="10" t="n"/>
      <c r="O102" s="13" t="n"/>
      <c r="P102" s="7" t="inlineStr">
        <is>
          <t>Same protocol as Week 1. Warm-up 400, build 4 × 50, 400 all-out, 5 min rest, 200 all-out, cool-down 400. Recalculate CSS and reset every send-off in the second half of the block. Seven weeks of threshold work should show up here — 4–6 s/100 faster is a good outcome, which from the Week 1 baseline of 1:53 means landing between 1:49 and 1:47. CSS is hypersensitive to the 400: hold the 200 at 3:20, take eight seconds off the 400, and you are already at 1:49. Run it identically to Week 1 or the comparison means nothing, and give both efforts everything — an easy 200 flatters the number.</t>
        </is>
      </c>
    </row>
    <row r="103">
      <c r="A103" s="4" t="inlineStr">
        <is>
          <t>2026-11-09</t>
        </is>
      </c>
      <c r="B103" s="5" t="inlineStr">
        <is>
          <t>Mon</t>
        </is>
      </c>
      <c r="C103" s="5" t="n">
        <v>8</v>
      </c>
      <c r="D103" s="5" t="inlineStr">
        <is>
          <t>build2</t>
        </is>
      </c>
      <c r="E103" s="14" t="inlineStr">
        <is>
          <t>strength</t>
        </is>
      </c>
      <c r="F103" s="7" t="inlineStr">
        <is>
          <t>Full body A — hinge + pull</t>
        </is>
      </c>
      <c r="G103" s="5" t="inlineStr">
        <is>
          <t>40–45 min</t>
        </is>
      </c>
      <c r="H103" s="8" t="n"/>
      <c r="I103" s="9" t="n"/>
      <c r="J103" s="10" t="n"/>
      <c r="K103" s="11" t="n"/>
      <c r="L103" s="12" t="n"/>
      <c r="M103" s="10" t="n"/>
      <c r="N103" s="10" t="n"/>
      <c r="O103" s="13" t="n"/>
      <c r="P103" s="7" t="inlineStr">
        <is>
          <t>Full body A on retest day — swim first, lift after, and the order matters: the CSS number is the one that cannot be redone.</t>
        </is>
      </c>
    </row>
    <row r="104">
      <c r="A104" s="4" t="inlineStr">
        <is>
          <t>2026-11-10</t>
        </is>
      </c>
      <c r="B104" s="5" t="inlineStr">
        <is>
          <t>Tue</t>
        </is>
      </c>
      <c r="C104" s="5" t="n">
        <v>8</v>
      </c>
      <c r="D104" s="5" t="inlineStr">
        <is>
          <t>build2</t>
        </is>
      </c>
      <c r="E104" s="15" t="inlineStr">
        <is>
          <t>run</t>
        </is>
      </c>
      <c r="F104" s="7" t="inlineStr">
        <is>
          <t>Easy run — 3 km</t>
        </is>
      </c>
      <c r="G104" s="5" t="inlineStr">
        <is>
          <t>22–25 min</t>
        </is>
      </c>
      <c r="H104" s="8" t="n"/>
      <c r="I104" s="9" t="n">
        <v>3</v>
      </c>
      <c r="J104" s="10" t="n"/>
      <c r="K104" s="11" t="n"/>
      <c r="L104" s="12" t="n"/>
      <c r="M104" s="10" t="n"/>
      <c r="N104" s="10" t="n"/>
      <c r="O104" s="13" t="n"/>
      <c r="P104" s="7" t="inlineStr">
        <is>
          <t>Easy. The long run is this weekend and it is the big one this week.</t>
        </is>
      </c>
    </row>
    <row r="105">
      <c r="A105" s="4" t="inlineStr">
        <is>
          <t>2026-11-10</t>
        </is>
      </c>
      <c r="B105" s="5" t="inlineStr">
        <is>
          <t>Tue</t>
        </is>
      </c>
      <c r="C105" s="5" t="n">
        <v>8</v>
      </c>
      <c r="D105" s="5" t="inlineStr">
        <is>
          <t>build2</t>
        </is>
      </c>
      <c r="E105" s="6" t="inlineStr">
        <is>
          <t>swim</t>
        </is>
      </c>
      <c r="F105" s="7" t="inlineStr">
        <is>
          <t>Technique swim (short)</t>
        </is>
      </c>
      <c r="G105" s="5" t="inlineStr">
        <is>
          <t>1,400 yd · 31–41 min</t>
        </is>
      </c>
      <c r="H105" s="8" t="n">
        <v>1400</v>
      </c>
      <c r="I105" s="9" t="n"/>
      <c r="J105" s="10" t="n"/>
      <c r="K105" s="11" t="n"/>
      <c r="L105" s="12" t="n"/>
      <c r="M105" s="10" t="n"/>
      <c r="N105" s="10" t="n"/>
      <c r="O105" s="13" t="n"/>
      <c r="P105" s="7" t="inlineStr">
        <is>
          <t>About 1,400 yd total, all easy. No clock, no main set. Snorkel and fins for the first half — catch-up, fingertip drag and front scull, rotating through them — then easy 50s holding the feel. This session exists to raise frequency and keep the stroke fresh — leave the pool fresher than you arrived.</t>
        </is>
      </c>
    </row>
    <row r="106">
      <c r="A106" s="4" t="inlineStr">
        <is>
          <t>2026-11-10</t>
        </is>
      </c>
      <c r="B106" s="5" t="inlineStr">
        <is>
          <t>Tue</t>
        </is>
      </c>
      <c r="C106" s="5" t="n">
        <v>8</v>
      </c>
      <c r="D106" s="5" t="inlineStr">
        <is>
          <t>build2</t>
        </is>
      </c>
      <c r="E106" s="5" t="inlineStr">
        <is>
          <t>mobility</t>
        </is>
      </c>
      <c r="F106" s="7" t="inlineStr">
        <is>
          <t>Mobility + lower-leg prehab</t>
        </is>
      </c>
      <c r="G106" s="5" t="inlineStr">
        <is>
          <t>15 min</t>
        </is>
      </c>
      <c r="H106" s="8" t="n"/>
      <c r="I106" s="9" t="n"/>
      <c r="J106" s="10" t="n"/>
      <c r="K106" s="11" t="n"/>
      <c r="L106" s="12" t="n"/>
      <c r="M106" s="10" t="n"/>
      <c r="N106" s="10" t="n"/>
      <c r="O106" s="13" t="n"/>
      <c r="P106" s="7" t="inlineStr">
        <is>
          <t>Ankle dorsiflexion (knee-to-wall), calf and soleus stretch, hip flexors, thoracic rotation, and 3 × 20 tibialis raises. Ten minutes of this beats an hour once a month.</t>
        </is>
      </c>
    </row>
    <row r="107">
      <c r="A107" s="4" t="inlineStr">
        <is>
          <t>2026-11-11</t>
        </is>
      </c>
      <c r="B107" s="5" t="inlineStr">
        <is>
          <t>Wed</t>
        </is>
      </c>
      <c r="C107" s="5" t="n">
        <v>8</v>
      </c>
      <c r="D107" s="5" t="inlineStr">
        <is>
          <t>build2</t>
        </is>
      </c>
      <c r="E107" s="6" t="inlineStr">
        <is>
          <t>swim</t>
        </is>
      </c>
      <c r="F107" s="7" t="inlineStr">
        <is>
          <t>Swim — speed 5 × (4 × 50)</t>
        </is>
      </c>
      <c r="G107" s="5" t="inlineStr">
        <is>
          <t>2,300 yd · 51–68 min</t>
        </is>
      </c>
      <c r="H107" s="8" t="n">
        <v>2300</v>
      </c>
      <c r="I107" s="9" t="n"/>
      <c r="J107" s="10" t="n"/>
      <c r="K107" s="11" t="n"/>
      <c r="L107" s="12" t="n"/>
      <c r="M107" s="10" t="n"/>
      <c r="N107" s="10" t="n"/>
      <c r="O107" s="13" t="n"/>
      <c r="P107" s="7" t="inlineStr">
        <is>
          <t>Warm-up 300. Drill 400 as 8 × 50, each drill twice: stroke-count ladder / front scull / 6-1-6 / closed-fist. Fins throughout; snorkel off for 6-1-6. Pull 200 with small paddles and buoy, easy, holding the catch. Main: 5 rounds of 4 × 50 on 1:00, 45 s between rounds. Then 4 × 50 breaststroke. Cool-down 200. Tighter send-off than Week 5 — this is where density shows up.</t>
        </is>
      </c>
    </row>
    <row r="108">
      <c r="A108" s="4" t="inlineStr">
        <is>
          <t>2026-11-11</t>
        </is>
      </c>
      <c r="B108" s="5" t="inlineStr">
        <is>
          <t>Wed</t>
        </is>
      </c>
      <c r="C108" s="5" t="n">
        <v>8</v>
      </c>
      <c r="D108" s="5" t="inlineStr">
        <is>
          <t>build2</t>
        </is>
      </c>
      <c r="E108" s="16" t="inlineStr">
        <is>
          <t>bike</t>
        </is>
      </c>
      <c r="F108" s="7" t="inlineStr">
        <is>
          <t>Spin bike — 20 min FTP RETEST</t>
        </is>
      </c>
      <c r="G108" s="5" t="inlineStr">
        <is>
          <t>60 min</t>
        </is>
      </c>
      <c r="H108" s="8" t="n"/>
      <c r="I108" s="9" t="n"/>
      <c r="J108" s="10" t="n"/>
      <c r="K108" s="11" t="n"/>
      <c r="L108" s="12" t="n"/>
      <c r="M108" s="10" t="n"/>
      <c r="N108" s="10" t="n"/>
      <c r="O108" s="13" t="n"/>
      <c r="P108" s="7" t="inlineStr">
        <is>
          <t>Same protocol as Week 2: 15 min warm-up with 3 × 1 min builds, 20 min all-out, 10 min easy. Same Keiser, because the number only compares to itself. Six weeks of sweet spot from a base this low usually returns 5–10%, so 195 W is a good outcome and 205 W a strong one. The one thing to do differently: pace it evenly. Last time you opened at 205 and finished at 180, which is why 186 W was probably a slight underestimate — open at your target instead of at what feels good in minute two, and let the last five minutes be the ones that hurt. Re-cut every bike watt target in the second half of the block off whatever this gives.</t>
        </is>
      </c>
    </row>
    <row r="109">
      <c r="A109" s="4" t="inlineStr">
        <is>
          <t>2026-11-12</t>
        </is>
      </c>
      <c r="B109" s="5" t="inlineStr">
        <is>
          <t>Thu</t>
        </is>
      </c>
      <c r="C109" s="5" t="n">
        <v>8</v>
      </c>
      <c r="D109" s="5" t="inlineStr">
        <is>
          <t>build2</t>
        </is>
      </c>
      <c r="E109" s="15" t="inlineStr">
        <is>
          <t>run</t>
        </is>
      </c>
      <c r="F109" s="7" t="inlineStr">
        <is>
          <t>Quality run — 6 × 1 min (≈5 km)</t>
        </is>
      </c>
      <c r="G109" s="5" t="inlineStr">
        <is>
          <t>32–35 min</t>
        </is>
      </c>
      <c r="H109" s="8" t="n"/>
      <c r="I109" s="9" t="n">
        <v>5</v>
      </c>
      <c r="J109" s="10" t="n"/>
      <c r="K109" s="11" t="n"/>
      <c r="L109" s="12" t="n"/>
      <c r="M109" s="10" t="n"/>
      <c r="N109" s="10" t="n"/>
      <c r="O109" s="13" t="n"/>
      <c r="P109" s="7" t="inlineStr">
        <is>
          <t>Warm-up 10 min easy. Then 6 × 1 min at 5k effort with 2 min easy jog between. Cool-down 10 min. Short reps on a track or soft trail — first real intensity of the block, and it stays short on purpose.</t>
        </is>
      </c>
    </row>
    <row r="110">
      <c r="A110" s="4" t="inlineStr">
        <is>
          <t>2026-11-12</t>
        </is>
      </c>
      <c r="B110" s="5" t="inlineStr">
        <is>
          <t>Thu</t>
        </is>
      </c>
      <c r="C110" s="5" t="n">
        <v>8</v>
      </c>
      <c r="D110" s="5" t="inlineStr">
        <is>
          <t>build2</t>
        </is>
      </c>
      <c r="E110" s="14" t="inlineStr">
        <is>
          <t>strength</t>
        </is>
      </c>
      <c r="F110" s="7" t="inlineStr">
        <is>
          <t>Full body B — single-leg + press</t>
        </is>
      </c>
      <c r="G110" s="5" t="inlineStr">
        <is>
          <t>40–45 min</t>
        </is>
      </c>
      <c r="H110" s="8" t="n"/>
      <c r="I110" s="9" t="n"/>
      <c r="J110" s="10" t="n"/>
      <c r="K110" s="11" t="n"/>
      <c r="L110" s="12" t="n"/>
      <c r="M110" s="10" t="n"/>
      <c r="N110" s="10" t="n"/>
      <c r="O110" s="13" t="n"/>
      <c r="P110" s="7" t="inlineStr">
        <is>
          <t>Run first, lift after — the intervals want fresh legs, the lift does not mind tired ones. Friday is a swim day, so there is a clear day before the long run either way it floats.</t>
        </is>
      </c>
    </row>
    <row r="111">
      <c r="A111" s="4" t="inlineStr">
        <is>
          <t>2026-11-13</t>
        </is>
      </c>
      <c r="B111" s="5" t="inlineStr">
        <is>
          <t>Fri</t>
        </is>
      </c>
      <c r="C111" s="5" t="n">
        <v>8</v>
      </c>
      <c r="D111" s="5" t="inlineStr">
        <is>
          <t>build2</t>
        </is>
      </c>
      <c r="E111" s="6" t="inlineStr">
        <is>
          <t>swim</t>
        </is>
      </c>
      <c r="F111" s="7" t="inlineStr">
        <is>
          <t>Swim — long aerobic 1,800</t>
        </is>
      </c>
      <c r="G111" s="5" t="inlineStr">
        <is>
          <t>3,000 yd · 67–88 min</t>
        </is>
      </c>
      <c r="H111" s="8" t="n">
        <v>3000</v>
      </c>
      <c r="I111" s="9" t="n"/>
      <c r="J111" s="10" t="n"/>
      <c r="K111" s="11" t="n"/>
      <c r="L111" s="12" t="n"/>
      <c r="M111" s="10" t="n"/>
      <c r="N111" s="10" t="n"/>
      <c r="O111" s="13" t="n"/>
      <c r="P111" s="7" t="inlineStr">
        <is>
          <t>Warm-up 300. Main: 1,800 continuous at the NEW aerobic pace from Monday's retest, then 6 × 100 at the new CSS on the new send-off. Cool-down 300.</t>
        </is>
      </c>
    </row>
    <row r="112">
      <c r="A112" s="4" t="inlineStr">
        <is>
          <t>2026-11-13</t>
        </is>
      </c>
      <c r="B112" s="5" t="inlineStr">
        <is>
          <t>Fri</t>
        </is>
      </c>
      <c r="C112" s="5" t="n">
        <v>8</v>
      </c>
      <c r="D112" s="5" t="inlineStr">
        <is>
          <t>build2</t>
        </is>
      </c>
      <c r="E112" s="5" t="inlineStr">
        <is>
          <t>mobility</t>
        </is>
      </c>
      <c r="F112" s="7" t="inlineStr">
        <is>
          <t>Mobility + lower-leg prehab</t>
        </is>
      </c>
      <c r="G112" s="5" t="inlineStr">
        <is>
          <t>15 min</t>
        </is>
      </c>
      <c r="H112" s="8" t="n"/>
      <c r="I112" s="9" t="n"/>
      <c r="J112" s="10" t="n"/>
      <c r="K112" s="11" t="n"/>
      <c r="L112" s="12" t="n"/>
      <c r="M112" s="10" t="n"/>
      <c r="N112" s="10" t="n"/>
      <c r="O112" s="13" t="n"/>
      <c r="P112" s="7" t="inlineStr">
        <is>
          <t>Ankle dorsiflexion (knee-to-wall), calf and soleus stretch, hip flexors, thoracic rotation, and 3 × 20 tibialis raises. Ten minutes of this beats an hour once a month.</t>
        </is>
      </c>
    </row>
    <row r="113">
      <c r="A113" s="4" t="inlineStr">
        <is>
          <t>2026-11-14</t>
        </is>
      </c>
      <c r="B113" s="5" t="inlineStr">
        <is>
          <t>Sat</t>
        </is>
      </c>
      <c r="C113" s="5" t="n">
        <v>8</v>
      </c>
      <c r="D113" s="5" t="inlineStr">
        <is>
          <t>build2</t>
        </is>
      </c>
      <c r="E113" s="5" t="inlineStr">
        <is>
          <t>cardio</t>
        </is>
      </c>
      <c r="F113" s="7" t="inlineStr">
        <is>
          <t>Weekend flex — ride, hike or ski</t>
        </is>
      </c>
      <c r="G113" s="5" t="inlineStr">
        <is>
          <t>2–3 hr</t>
        </is>
      </c>
      <c r="H113" s="8" t="n"/>
      <c r="I113" s="9" t="n"/>
      <c r="J113" s="10" t="n"/>
      <c r="K113" s="11" t="n"/>
      <c r="L113" s="12" t="n"/>
      <c r="M113" s="10" t="n"/>
      <c r="N113" s="10" t="n"/>
      <c r="O113" s="13" t="n"/>
      <c r="P113" s="7" t="inlineStr">
        <is>
          <t>Your pick of ride, hike or ski, and it counts as the week's second ride either way. If it is a hike, carry 20 lb — that is the fortnight's Rainier pack work, done outdoors instead of on the stairmaster. The long run floats: take it today and the flex slot tomorrow if the weather says so.</t>
        </is>
      </c>
    </row>
    <row r="114">
      <c r="A114" s="4" t="inlineStr">
        <is>
          <t>2026-11-15</t>
        </is>
      </c>
      <c r="B114" s="5" t="inlineStr">
        <is>
          <t>Sun</t>
        </is>
      </c>
      <c r="C114" s="5" t="n">
        <v>8</v>
      </c>
      <c r="D114" s="5" t="inlineStr">
        <is>
          <t>build2</t>
        </is>
      </c>
      <c r="E114" s="15" t="inlineStr">
        <is>
          <t>run</t>
        </is>
      </c>
      <c r="F114" s="7" t="inlineStr">
        <is>
          <t>Long run — 8 km</t>
        </is>
      </c>
      <c r="G114" s="5" t="inlineStr">
        <is>
          <t>50–55 min</t>
        </is>
      </c>
      <c r="H114" s="8" t="n"/>
      <c r="I114" s="9" t="n">
        <v>8</v>
      </c>
      <c r="J114" s="10" t="n"/>
      <c r="K114" s="11" t="n"/>
      <c r="L114" s="12" t="n"/>
      <c r="M114" s="10" t="n"/>
      <c r="N114" s="10" t="n"/>
      <c r="O114" s="13" t="n"/>
      <c r="P114" s="7" t="inlineStr">
        <is>
          <t>Race distance for the first time. Easy pace throughout, soft surface, cadence 175–180. Sunday by default, Saturday if the flex slot wants Sunday. If the shins are tight the next morning and still tight 48 hours later, next week's long run gets cut.</t>
        </is>
      </c>
    </row>
    <row r="115">
      <c r="A115" s="4" t="inlineStr">
        <is>
          <t>2026-11-15</t>
        </is>
      </c>
      <c r="B115" s="5" t="inlineStr">
        <is>
          <t>Sun</t>
        </is>
      </c>
      <c r="C115" s="5" t="n">
        <v>8</v>
      </c>
      <c r="D115" s="5" t="inlineStr">
        <is>
          <t>build2</t>
        </is>
      </c>
      <c r="E115" s="5" t="inlineStr">
        <is>
          <t>mobility</t>
        </is>
      </c>
      <c r="F115" s="7" t="inlineStr">
        <is>
          <t>Mobility + lower-leg prehab</t>
        </is>
      </c>
      <c r="G115" s="5" t="inlineStr">
        <is>
          <t>20 min</t>
        </is>
      </c>
      <c r="H115" s="8" t="n"/>
      <c r="I115" s="9" t="n"/>
      <c r="J115" s="10" t="n"/>
      <c r="K115" s="11" t="n"/>
      <c r="L115" s="12" t="n"/>
      <c r="M115" s="10" t="n"/>
      <c r="N115" s="10" t="n"/>
      <c r="O115" s="13" t="n"/>
      <c r="P115" s="7" t="inlineStr">
        <is>
          <t>Thorough post-long-run mobility plus foot intrinsics.</t>
        </is>
      </c>
    </row>
    <row r="116">
      <c r="A116" s="4" t="inlineStr">
        <is>
          <t>2026-11-16</t>
        </is>
      </c>
      <c r="B116" s="5" t="inlineStr">
        <is>
          <t>Mon</t>
        </is>
      </c>
      <c r="C116" s="5" t="n">
        <v>9</v>
      </c>
      <c r="D116" s="5" t="inlineStr">
        <is>
          <t>build2</t>
        </is>
      </c>
      <c r="E116" s="6" t="inlineStr">
        <is>
          <t>swim</t>
        </is>
      </c>
      <c r="F116" s="7" t="inlineStr">
        <is>
          <t>Swim — threshold 6 × 200</t>
        </is>
      </c>
      <c r="G116" s="5" t="inlineStr">
        <is>
          <t>2,300 yd · 51–68 min</t>
        </is>
      </c>
      <c r="H116" s="8" t="n">
        <v>2300</v>
      </c>
      <c r="I116" s="9" t="n"/>
      <c r="J116" s="10" t="n"/>
      <c r="K116" s="11" t="n"/>
      <c r="L116" s="12" t="n"/>
      <c r="M116" s="10" t="n"/>
      <c r="N116" s="10" t="n"/>
      <c r="O116" s="13" t="n"/>
      <c r="P116" s="7" t="inlineStr">
        <is>
          <t>Warm-up 400. Drill 400 as 8 × 50, each drill twice: sighting / breaststroke timing / stroke-count ladder / front scull. Fins throughout; snorkel off for sighting and breaststroke timing. Main: 6 × 200 at the new CSS on 4:25 (adjust to the retest). Cool-down 300. 1,200 yd of threshold — the biggest threshold block of the block.</t>
        </is>
      </c>
    </row>
    <row r="117">
      <c r="A117" s="4" t="inlineStr">
        <is>
          <t>2026-11-16</t>
        </is>
      </c>
      <c r="B117" s="5" t="inlineStr">
        <is>
          <t>Mon</t>
        </is>
      </c>
      <c r="C117" s="5" t="n">
        <v>9</v>
      </c>
      <c r="D117" s="5" t="inlineStr">
        <is>
          <t>build2</t>
        </is>
      </c>
      <c r="E117" s="14" t="inlineStr">
        <is>
          <t>strength</t>
        </is>
      </c>
      <c r="F117" s="7" t="inlineStr">
        <is>
          <t>Full body A — hinge + pull</t>
        </is>
      </c>
      <c r="G117" s="5" t="inlineStr">
        <is>
          <t>40–45 min</t>
        </is>
      </c>
      <c r="H117" s="8" t="n"/>
      <c r="I117" s="9" t="n"/>
      <c r="J117" s="10" t="n"/>
      <c r="K117" s="11" t="n"/>
      <c r="L117" s="12" t="n"/>
      <c r="M117" s="10" t="n"/>
      <c r="N117" s="10" t="n"/>
      <c r="O117" s="13" t="n"/>
      <c r="P117" s="7" t="inlineStr">
        <is>
          <t>Full body A. This is a big week; if you are flat, cut a set rather than skipping.</t>
        </is>
      </c>
    </row>
    <row r="118">
      <c r="A118" s="4" t="inlineStr">
        <is>
          <t>2026-11-17</t>
        </is>
      </c>
      <c r="B118" s="5" t="inlineStr">
        <is>
          <t>Tue</t>
        </is>
      </c>
      <c r="C118" s="5" t="n">
        <v>9</v>
      </c>
      <c r="D118" s="5" t="inlineStr">
        <is>
          <t>build2</t>
        </is>
      </c>
      <c r="E118" s="15" t="inlineStr">
        <is>
          <t>run</t>
        </is>
      </c>
      <c r="F118" s="7" t="inlineStr">
        <is>
          <t>Easy run — 3 km</t>
        </is>
      </c>
      <c r="G118" s="5" t="inlineStr">
        <is>
          <t>22–25 min</t>
        </is>
      </c>
      <c r="H118" s="8" t="n"/>
      <c r="I118" s="9" t="n">
        <v>3</v>
      </c>
      <c r="J118" s="10" t="n"/>
      <c r="K118" s="11" t="n"/>
      <c r="L118" s="12" t="n"/>
      <c r="M118" s="10" t="n"/>
      <c r="N118" s="10" t="n"/>
      <c r="O118" s="13" t="n"/>
      <c r="P118" s="7" t="inlineStr">
        <is>
          <t>Easy. Save it for the weekend.</t>
        </is>
      </c>
    </row>
    <row r="119">
      <c r="A119" s="4" t="inlineStr">
        <is>
          <t>2026-11-17</t>
        </is>
      </c>
      <c r="B119" s="5" t="inlineStr">
        <is>
          <t>Tue</t>
        </is>
      </c>
      <c r="C119" s="5" t="n">
        <v>9</v>
      </c>
      <c r="D119" s="5" t="inlineStr">
        <is>
          <t>build2</t>
        </is>
      </c>
      <c r="E119" s="6" t="inlineStr">
        <is>
          <t>swim</t>
        </is>
      </c>
      <c r="F119" s="7" t="inlineStr">
        <is>
          <t>Technique swim (short)</t>
        </is>
      </c>
      <c r="G119" s="5" t="inlineStr">
        <is>
          <t>1,400 yd · 31–41 min</t>
        </is>
      </c>
      <c r="H119" s="8" t="n">
        <v>1400</v>
      </c>
      <c r="I119" s="9" t="n"/>
      <c r="J119" s="10" t="n"/>
      <c r="K119" s="11" t="n"/>
      <c r="L119" s="12" t="n"/>
      <c r="M119" s="10" t="n"/>
      <c r="N119" s="10" t="n"/>
      <c r="O119" s="13" t="n"/>
      <c r="P119" s="7" t="inlineStr">
        <is>
          <t>About 1,400 yd total, all easy. No clock, no main set. Snorkel and fins for the first half — catch-up, fingertip drag and front scull, rotating through them — then easy 50s holding the feel. This session exists to raise frequency and keep the stroke fresh — leave the pool fresher than you arrived.</t>
        </is>
      </c>
    </row>
    <row r="120">
      <c r="A120" s="4" t="inlineStr">
        <is>
          <t>2026-11-17</t>
        </is>
      </c>
      <c r="B120" s="5" t="inlineStr">
        <is>
          <t>Tue</t>
        </is>
      </c>
      <c r="C120" s="5" t="n">
        <v>9</v>
      </c>
      <c r="D120" s="5" t="inlineStr">
        <is>
          <t>build2</t>
        </is>
      </c>
      <c r="E120" s="5" t="inlineStr">
        <is>
          <t>mobility</t>
        </is>
      </c>
      <c r="F120" s="7" t="inlineStr">
        <is>
          <t>Mobility + lower-leg prehab</t>
        </is>
      </c>
      <c r="G120" s="5" t="inlineStr">
        <is>
          <t>15 min</t>
        </is>
      </c>
      <c r="H120" s="8" t="n"/>
      <c r="I120" s="9" t="n"/>
      <c r="J120" s="10" t="n"/>
      <c r="K120" s="11" t="n"/>
      <c r="L120" s="12" t="n"/>
      <c r="M120" s="10" t="n"/>
      <c r="N120" s="10" t="n"/>
      <c r="O120" s="13" t="n"/>
      <c r="P120" s="7" t="inlineStr">
        <is>
          <t>Ankle dorsiflexion (knee-to-wall), calf and soleus stretch, hip flexors, thoracic rotation, and 3 × 20 tibialis raises. Ten minutes of this beats an hour once a month.</t>
        </is>
      </c>
    </row>
    <row r="121">
      <c r="A121" s="4" t="inlineStr">
        <is>
          <t>2026-11-18</t>
        </is>
      </c>
      <c r="B121" s="5" t="inlineStr">
        <is>
          <t>Wed</t>
        </is>
      </c>
      <c r="C121" s="5" t="n">
        <v>9</v>
      </c>
      <c r="D121" s="5" t="inlineStr">
        <is>
          <t>build2</t>
        </is>
      </c>
      <c r="E121" s="6" t="inlineStr">
        <is>
          <t>swim</t>
        </is>
      </c>
      <c r="F121" s="7" t="inlineStr">
        <is>
          <t>Swim — speed 24 × 50</t>
        </is>
      </c>
      <c r="G121" s="5" t="inlineStr">
        <is>
          <t>2,600 yd · 58–76 min</t>
        </is>
      </c>
      <c r="H121" s="8" t="n">
        <v>2600</v>
      </c>
      <c r="I121" s="9" t="n"/>
      <c r="J121" s="10" t="n"/>
      <c r="K121" s="11" t="n"/>
      <c r="L121" s="12" t="n"/>
      <c r="M121" s="10" t="n"/>
      <c r="N121" s="10" t="n"/>
      <c r="O121" s="13" t="n"/>
      <c r="P121" s="7" t="inlineStr">
        <is>
          <t>Warm-up 300. Drill 400 as 8 × 50, each drill twice: 6-1-6 / closed-fist / sighting / breaststroke timing. Fins throughout; snorkel off for 6-1-6, sighting and breaststroke timing. Pull 300 with small paddles and buoy, easy, holding the catch. Main: 24 × 50 on 1:05, alternating aerobic and fast. Then 4 × 50 breaststroke. Cool-down 200. Long 50s set — the goal is that number 24 looks like number 1.</t>
        </is>
      </c>
    </row>
    <row r="122">
      <c r="A122" s="4" t="inlineStr">
        <is>
          <t>2026-11-18</t>
        </is>
      </c>
      <c r="B122" s="5" t="inlineStr">
        <is>
          <t>Wed</t>
        </is>
      </c>
      <c r="C122" s="5" t="n">
        <v>9</v>
      </c>
      <c r="D122" s="5" t="inlineStr">
        <is>
          <t>build2</t>
        </is>
      </c>
      <c r="E122" s="16" t="inlineStr">
        <is>
          <t>bike</t>
        </is>
      </c>
      <c r="F122" s="7" t="inlineStr">
        <is>
          <t>Spin bike — sweet spot 4 × 12 min</t>
        </is>
      </c>
      <c r="G122" s="5" t="inlineStr">
        <is>
          <t>60 min</t>
        </is>
      </c>
      <c r="H122" s="8" t="n"/>
      <c r="I122" s="9" t="n"/>
      <c r="J122" s="10" t="n"/>
      <c r="K122" s="11" t="n"/>
      <c r="L122" s="12" t="n"/>
      <c r="M122" s="10" t="n"/>
      <c r="N122" s="10" t="n"/>
      <c r="O122" s="13" t="n"/>
      <c r="P122" s="7" t="inlineStr">
        <is>
          <t>4 × 12 min at the NEW sweet-spot watts from Wednesday's retest, 4 min easy. Long sweet-spot blocks are the most useful 70.3 preparation you can do indoors.</t>
        </is>
      </c>
    </row>
    <row r="123">
      <c r="A123" s="4" t="inlineStr">
        <is>
          <t>2026-11-19</t>
        </is>
      </c>
      <c r="B123" s="5" t="inlineStr">
        <is>
          <t>Thu</t>
        </is>
      </c>
      <c r="C123" s="5" t="n">
        <v>9</v>
      </c>
      <c r="D123" s="5" t="inlineStr">
        <is>
          <t>build2</t>
        </is>
      </c>
      <c r="E123" s="15" t="inlineStr">
        <is>
          <t>run</t>
        </is>
      </c>
      <c r="F123" s="7" t="inlineStr">
        <is>
          <t>Quality run — 4 × 3 min (≈5 km)</t>
        </is>
      </c>
      <c r="G123" s="5" t="inlineStr">
        <is>
          <t>35 min</t>
        </is>
      </c>
      <c r="H123" s="8" t="n"/>
      <c r="I123" s="9" t="n">
        <v>5</v>
      </c>
      <c r="J123" s="10" t="n"/>
      <c r="K123" s="11" t="n"/>
      <c r="L123" s="12" t="n"/>
      <c r="M123" s="10" t="n"/>
      <c r="N123" s="10" t="n"/>
      <c r="O123" s="13" t="n"/>
      <c r="P123" s="7" t="inlineStr">
        <is>
          <t>Warm-up 10 min. Then 4 × 3 min at 5-mile race effort (roughly 4:55–5:10/km) with 2 min easy between. Cool-down 10 min. First taste of race pace.</t>
        </is>
      </c>
    </row>
    <row r="124">
      <c r="A124" s="4" t="inlineStr">
        <is>
          <t>2026-11-19</t>
        </is>
      </c>
      <c r="B124" s="5" t="inlineStr">
        <is>
          <t>Thu</t>
        </is>
      </c>
      <c r="C124" s="5" t="n">
        <v>9</v>
      </c>
      <c r="D124" s="5" t="inlineStr">
        <is>
          <t>build2</t>
        </is>
      </c>
      <c r="E124" s="14" t="inlineStr">
        <is>
          <t>strength</t>
        </is>
      </c>
      <c r="F124" s="7" t="inlineStr">
        <is>
          <t>Full body B — single-leg + press</t>
        </is>
      </c>
      <c r="G124" s="5" t="inlineStr">
        <is>
          <t>40–45 min</t>
        </is>
      </c>
      <c r="H124" s="8" t="n"/>
      <c r="I124" s="9" t="n"/>
      <c r="J124" s="10" t="n"/>
      <c r="K124" s="11" t="n"/>
      <c r="L124" s="12" t="n"/>
      <c r="M124" s="10" t="n"/>
      <c r="N124" s="10" t="n"/>
      <c r="O124" s="13" t="n"/>
      <c r="P124" s="7" t="inlineStr">
        <is>
          <t>Full body B, after the run. Peak week — hold the loads where they were rather than chasing a PR, so the 10 km long run gets the legs.</t>
        </is>
      </c>
    </row>
    <row r="125">
      <c r="A125" s="4" t="inlineStr">
        <is>
          <t>2026-11-20</t>
        </is>
      </c>
      <c r="B125" s="5" t="inlineStr">
        <is>
          <t>Fri</t>
        </is>
      </c>
      <c r="C125" s="5" t="n">
        <v>9</v>
      </c>
      <c r="D125" s="5" t="inlineStr">
        <is>
          <t>build2</t>
        </is>
      </c>
      <c r="E125" s="6" t="inlineStr">
        <is>
          <t>swim</t>
        </is>
      </c>
      <c r="F125" s="7" t="inlineStr">
        <is>
          <t>Swim — long aerobic 2,000</t>
        </is>
      </c>
      <c r="G125" s="5" t="inlineStr">
        <is>
          <t>3,200 yd · 71–94 min</t>
        </is>
      </c>
      <c r="H125" s="8" t="n">
        <v>3200</v>
      </c>
      <c r="I125" s="9" t="n"/>
      <c r="J125" s="10" t="n"/>
      <c r="K125" s="11" t="n"/>
      <c r="L125" s="12" t="n"/>
      <c r="M125" s="10" t="n"/>
      <c r="N125" s="10" t="n"/>
      <c r="O125" s="13" t="n"/>
      <c r="P125" s="7" t="inlineStr">
        <is>
          <t>Warm-up 300. Main: 2,000 continuous, then 6 × 100 at CSS. Cool-down 300. Two thousand yards without stopping. Compare the HR drift to the Week 1 1,000 — this is the headline number for whether the plateau broke.</t>
        </is>
      </c>
    </row>
    <row r="126">
      <c r="A126" s="4" t="inlineStr">
        <is>
          <t>2026-11-20</t>
        </is>
      </c>
      <c r="B126" s="5" t="inlineStr">
        <is>
          <t>Fri</t>
        </is>
      </c>
      <c r="C126" s="5" t="n">
        <v>9</v>
      </c>
      <c r="D126" s="5" t="inlineStr">
        <is>
          <t>build2</t>
        </is>
      </c>
      <c r="E126" s="5" t="inlineStr">
        <is>
          <t>mobility</t>
        </is>
      </c>
      <c r="F126" s="7" t="inlineStr">
        <is>
          <t>Mobility + lower-leg prehab</t>
        </is>
      </c>
      <c r="G126" s="5" t="inlineStr">
        <is>
          <t>15 min</t>
        </is>
      </c>
      <c r="H126" s="8" t="n"/>
      <c r="I126" s="9" t="n"/>
      <c r="J126" s="10" t="n"/>
      <c r="K126" s="11" t="n"/>
      <c r="L126" s="12" t="n"/>
      <c r="M126" s="10" t="n"/>
      <c r="N126" s="10" t="n"/>
      <c r="O126" s="13" t="n"/>
      <c r="P126" s="7" t="inlineStr">
        <is>
          <t>Ankle dorsiflexion (knee-to-wall), calf and soleus stretch, hip flexors, thoracic rotation, and 3 × 20 tibialis raises. Ten minutes of this beats an hour once a month.</t>
        </is>
      </c>
    </row>
    <row r="127">
      <c r="A127" s="4" t="inlineStr">
        <is>
          <t>2026-11-21</t>
        </is>
      </c>
      <c r="B127" s="5" t="inlineStr">
        <is>
          <t>Sat</t>
        </is>
      </c>
      <c r="C127" s="5" t="n">
        <v>9</v>
      </c>
      <c r="D127" s="5" t="inlineStr">
        <is>
          <t>build2</t>
        </is>
      </c>
      <c r="E127" s="5" t="inlineStr">
        <is>
          <t>cardio</t>
        </is>
      </c>
      <c r="F127" s="7" t="inlineStr">
        <is>
          <t>Weekend flex — ride, hike or ski</t>
        </is>
      </c>
      <c r="G127" s="5" t="inlineStr">
        <is>
          <t>2–3 hr</t>
        </is>
      </c>
      <c r="H127" s="8" t="n"/>
      <c r="I127" s="9" t="n"/>
      <c r="J127" s="10" t="n"/>
      <c r="K127" s="11" t="n"/>
      <c r="L127" s="12" t="n"/>
      <c r="M127" s="10" t="n"/>
      <c r="N127" s="10" t="n"/>
      <c r="O127" s="13" t="n"/>
      <c r="P127" s="7" t="inlineStr">
        <is>
          <t>Ride, hike or ski — keep it aerobic. Big week, so err easy and short, and if the long run is today, the flex slot moves to Sunday.</t>
        </is>
      </c>
    </row>
    <row r="128">
      <c r="A128" s="4" t="inlineStr">
        <is>
          <t>2026-11-22</t>
        </is>
      </c>
      <c r="B128" s="5" t="inlineStr">
        <is>
          <t>Sun</t>
        </is>
      </c>
      <c r="C128" s="5" t="n">
        <v>9</v>
      </c>
      <c r="D128" s="5" t="inlineStr">
        <is>
          <t>build2</t>
        </is>
      </c>
      <c r="E128" s="15" t="inlineStr">
        <is>
          <t>run</t>
        </is>
      </c>
      <c r="F128" s="7" t="inlineStr">
        <is>
          <t>Long run — 10 km</t>
        </is>
      </c>
      <c r="G128" s="5" t="inlineStr">
        <is>
          <t>62–68 min</t>
        </is>
      </c>
      <c r="H128" s="8" t="n"/>
      <c r="I128" s="9" t="n">
        <v>10</v>
      </c>
      <c r="J128" s="10" t="n"/>
      <c r="K128" s="11" t="n"/>
      <c r="L128" s="12" t="n"/>
      <c r="M128" s="10" t="n"/>
      <c r="N128" s="10" t="n"/>
      <c r="O128" s="13" t="n"/>
      <c r="P128" s="7" t="inlineStr">
        <is>
          <t>Peak long run, comfortably over race distance. Easy pace, soft surface. This is the run that makes Dec 5 feel short — and the last long one before the race.</t>
        </is>
      </c>
    </row>
    <row r="129">
      <c r="A129" s="4" t="inlineStr">
        <is>
          <t>2026-11-22</t>
        </is>
      </c>
      <c r="B129" s="5" t="inlineStr">
        <is>
          <t>Sun</t>
        </is>
      </c>
      <c r="C129" s="5" t="n">
        <v>9</v>
      </c>
      <c r="D129" s="5" t="inlineStr">
        <is>
          <t>build2</t>
        </is>
      </c>
      <c r="E129" s="5" t="inlineStr">
        <is>
          <t>mobility</t>
        </is>
      </c>
      <c r="F129" s="7" t="inlineStr">
        <is>
          <t>Mobility + lower-leg prehab</t>
        </is>
      </c>
      <c r="G129" s="5" t="inlineStr">
        <is>
          <t>25 min</t>
        </is>
      </c>
      <c r="H129" s="8" t="n"/>
      <c r="I129" s="9" t="n"/>
      <c r="J129" s="10" t="n"/>
      <c r="K129" s="11" t="n"/>
      <c r="L129" s="12" t="n"/>
      <c r="M129" s="10" t="n"/>
      <c r="N129" s="10" t="n"/>
      <c r="O129" s="13" t="n"/>
      <c r="P129" s="7" t="inlineStr">
        <is>
          <t>Full mobility. Pack for Edmonton.</t>
        </is>
      </c>
    </row>
    <row r="130">
      <c r="A130" s="4" t="inlineStr">
        <is>
          <t>2026-11-23</t>
        </is>
      </c>
      <c r="B130" s="5" t="inlineStr">
        <is>
          <t>Mon</t>
        </is>
      </c>
      <c r="C130" s="5" t="n">
        <v>10</v>
      </c>
      <c r="D130" s="5" t="inlineStr">
        <is>
          <t>build2</t>
        </is>
      </c>
      <c r="E130" s="6" t="inlineStr">
        <is>
          <t>swim</t>
        </is>
      </c>
      <c r="F130" s="7" t="inlineStr">
        <is>
          <t>Swim — threshold 3 × 400</t>
        </is>
      </c>
      <c r="G130" s="5" t="inlineStr">
        <is>
          <t>2,400 yd · 53–71 min</t>
        </is>
      </c>
      <c r="H130" s="8" t="n">
        <v>2400</v>
      </c>
      <c r="I130" s="9" t="n"/>
      <c r="J130" s="10" t="n"/>
      <c r="K130" s="11" t="n"/>
      <c r="L130" s="12" t="n"/>
      <c r="M130" s="10" t="n"/>
      <c r="N130" s="10" t="n"/>
      <c r="O130" s="13" t="n"/>
      <c r="P130" s="7" t="inlineStr">
        <is>
          <t>Warm-up 400. Drill 400 as 8 × 50, each drill twice: stroke-count ladder / front scull / 6-1-6 / closed-fist. Fins throughout; snorkel off for 6-1-6. Main: 3 × 400 at CSS on 8:45. Cool-down 400. Longest threshold reps of the block — essentially a rehearsal for the 70.3 swim distance, broken.</t>
        </is>
      </c>
    </row>
    <row r="131">
      <c r="A131" s="4" t="inlineStr">
        <is>
          <t>2026-11-23</t>
        </is>
      </c>
      <c r="B131" s="5" t="inlineStr">
        <is>
          <t>Mon</t>
        </is>
      </c>
      <c r="C131" s="5" t="n">
        <v>10</v>
      </c>
      <c r="D131" s="5" t="inlineStr">
        <is>
          <t>build2</t>
        </is>
      </c>
      <c r="E131" s="14" t="inlineStr">
        <is>
          <t>strength</t>
        </is>
      </c>
      <c r="F131" s="7" t="inlineStr">
        <is>
          <t>Full body A — hinge + pull</t>
        </is>
      </c>
      <c r="G131" s="5" t="inlineStr">
        <is>
          <t>40–45 min</t>
        </is>
      </c>
      <c r="H131" s="8" t="n"/>
      <c r="I131" s="9" t="n"/>
      <c r="J131" s="10" t="n"/>
      <c r="K131" s="11" t="n"/>
      <c r="L131" s="12" t="n"/>
      <c r="M131" s="10" t="n"/>
      <c r="N131" s="10" t="n"/>
      <c r="O131" s="13" t="n"/>
      <c r="P131" s="7" t="inlineStr">
        <is>
          <t>Full body A, last lift in your home gym before Edmonton.</t>
        </is>
      </c>
    </row>
    <row r="132">
      <c r="A132" s="4" t="inlineStr">
        <is>
          <t>2026-11-24</t>
        </is>
      </c>
      <c r="B132" s="5" t="inlineStr">
        <is>
          <t>Tue</t>
        </is>
      </c>
      <c r="C132" s="5" t="n">
        <v>10</v>
      </c>
      <c r="D132" s="5" t="inlineStr">
        <is>
          <t>build2</t>
        </is>
      </c>
      <c r="E132" s="15" t="inlineStr">
        <is>
          <t>run</t>
        </is>
      </c>
      <c r="F132" s="7" t="inlineStr">
        <is>
          <t>Easy run — 4 km</t>
        </is>
      </c>
      <c r="G132" s="5" t="inlineStr">
        <is>
          <t>28–30 min</t>
        </is>
      </c>
      <c r="H132" s="8" t="n"/>
      <c r="I132" s="9" t="n">
        <v>4</v>
      </c>
      <c r="J132" s="10" t="n"/>
      <c r="K132" s="11" t="n"/>
      <c r="L132" s="12" t="n"/>
      <c r="M132" s="10" t="n"/>
      <c r="N132" s="10" t="n"/>
      <c r="O132" s="13" t="n"/>
      <c r="P132" s="7" t="inlineStr">
        <is>
          <t>Last Seattle run before the flight. Soft surface.</t>
        </is>
      </c>
    </row>
    <row r="133">
      <c r="A133" s="4" t="inlineStr">
        <is>
          <t>2026-11-24</t>
        </is>
      </c>
      <c r="B133" s="5" t="inlineStr">
        <is>
          <t>Tue</t>
        </is>
      </c>
      <c r="C133" s="5" t="n">
        <v>10</v>
      </c>
      <c r="D133" s="5" t="inlineStr">
        <is>
          <t>build2</t>
        </is>
      </c>
      <c r="E133" s="6" t="inlineStr">
        <is>
          <t>swim</t>
        </is>
      </c>
      <c r="F133" s="7" t="inlineStr">
        <is>
          <t>Technique swim (short)</t>
        </is>
      </c>
      <c r="G133" s="5" t="inlineStr">
        <is>
          <t>1,400 yd · 31–41 min</t>
        </is>
      </c>
      <c r="H133" s="8" t="n">
        <v>1400</v>
      </c>
      <c r="I133" s="9" t="n"/>
      <c r="J133" s="10" t="n"/>
      <c r="K133" s="11" t="n"/>
      <c r="L133" s="12" t="n"/>
      <c r="M133" s="10" t="n"/>
      <c r="N133" s="10" t="n"/>
      <c r="O133" s="13" t="n"/>
      <c r="P133" s="7" t="inlineStr">
        <is>
          <t>About 1,400 yd total, all easy. No clock, no main set. Snorkel and fins for the first half — catch-up, fingertip drag and front scull, rotating through them — then easy 50s holding the feel. This session exists to raise frequency and keep the stroke fresh — leave the pool fresher than you arrived.</t>
        </is>
      </c>
    </row>
    <row r="134">
      <c r="A134" s="4" t="inlineStr">
        <is>
          <t>2026-11-24</t>
        </is>
      </c>
      <c r="B134" s="5" t="inlineStr">
        <is>
          <t>Tue</t>
        </is>
      </c>
      <c r="C134" s="5" t="n">
        <v>10</v>
      </c>
      <c r="D134" s="5" t="inlineStr">
        <is>
          <t>build2</t>
        </is>
      </c>
      <c r="E134" s="5" t="inlineStr">
        <is>
          <t>mobility</t>
        </is>
      </c>
      <c r="F134" s="7" t="inlineStr">
        <is>
          <t>Mobility + lower-leg prehab</t>
        </is>
      </c>
      <c r="G134" s="5" t="inlineStr">
        <is>
          <t>15 min</t>
        </is>
      </c>
      <c r="H134" s="8" t="n"/>
      <c r="I134" s="9" t="n"/>
      <c r="J134" s="10" t="n"/>
      <c r="K134" s="11" t="n"/>
      <c r="L134" s="12" t="n"/>
      <c r="M134" s="10" t="n"/>
      <c r="N134" s="10" t="n"/>
      <c r="O134" s="13" t="n"/>
      <c r="P134" s="7" t="inlineStr">
        <is>
          <t>Ankle dorsiflexion (knee-to-wall), calf and soleus stretch, hip flexors, thoracic rotation, and 3 × 20 tibialis raises. Ten minutes of this beats an hour once a month.</t>
        </is>
      </c>
    </row>
    <row r="135">
      <c r="A135" s="4" t="inlineStr">
        <is>
          <t>2026-11-25</t>
        </is>
      </c>
      <c r="B135" s="5" t="inlineStr">
        <is>
          <t>Wed</t>
        </is>
      </c>
      <c r="C135" s="5" t="n">
        <v>10</v>
      </c>
      <c r="D135" s="5" t="inlineStr">
        <is>
          <t>build2</t>
        </is>
      </c>
      <c r="E135" s="6" t="inlineStr">
        <is>
          <t>swim</t>
        </is>
      </c>
      <c r="F135" s="7" t="inlineStr">
        <is>
          <t>Swim — speed (Edmonton)</t>
        </is>
      </c>
      <c r="G135" s="5" t="inlineStr">
        <is>
          <t>2,100 yd · 47–62 min</t>
        </is>
      </c>
      <c r="H135" s="8" t="n">
        <v>2100</v>
      </c>
      <c r="I135" s="9" t="n"/>
      <c r="J135" s="10" t="n"/>
      <c r="K135" s="11" t="n"/>
      <c r="L135" s="12" t="n"/>
      <c r="M135" s="10" t="n"/>
      <c r="N135" s="10" t="n"/>
      <c r="O135" s="13" t="n"/>
      <c r="P135" s="7" t="inlineStr">
        <is>
          <t>Travel day. Warm-up 300. Drill 400 as 8 × 50, each drill twice: sighting / breaststroke timing / stroke-count ladder / front scull. Fins throughout; snorkel off for sighting and breaststroke timing. Main: 20 × 50 on 1:05 alternating. 4 × 50 breaststroke. Cool-down 200. Fit it around the flight — same gym, so no adaptation needed.</t>
        </is>
      </c>
    </row>
    <row r="136">
      <c r="A136" s="4" t="inlineStr">
        <is>
          <t>2026-11-25</t>
        </is>
      </c>
      <c r="B136" s="5" t="inlineStr">
        <is>
          <t>Wed</t>
        </is>
      </c>
      <c r="C136" s="5" t="n">
        <v>10</v>
      </c>
      <c r="D136" s="5" t="inlineStr">
        <is>
          <t>build2</t>
        </is>
      </c>
      <c r="E136" s="5" t="inlineStr">
        <is>
          <t>mobility</t>
        </is>
      </c>
      <c r="F136" s="7" t="inlineStr">
        <is>
          <t>Mobility + lower-leg prehab</t>
        </is>
      </c>
      <c r="G136" s="5" t="inlineStr">
        <is>
          <t>15 min</t>
        </is>
      </c>
      <c r="H136" s="8" t="n"/>
      <c r="I136" s="9" t="n"/>
      <c r="J136" s="10" t="n"/>
      <c r="K136" s="11" t="n"/>
      <c r="L136" s="12" t="n"/>
      <c r="M136" s="10" t="n"/>
      <c r="N136" s="10" t="n"/>
      <c r="O136" s="13" t="n"/>
      <c r="P136" s="7" t="inlineStr">
        <is>
          <t>Travel mobility.</t>
        </is>
      </c>
    </row>
    <row r="137">
      <c r="A137" s="4" t="inlineStr">
        <is>
          <t>2026-11-25</t>
        </is>
      </c>
      <c r="B137" s="5" t="inlineStr">
        <is>
          <t>Wed</t>
        </is>
      </c>
      <c r="C137" s="5" t="n">
        <v>10</v>
      </c>
      <c r="D137" s="5" t="inlineStr">
        <is>
          <t>build2</t>
        </is>
      </c>
      <c r="E137" s="16" t="inlineStr">
        <is>
          <t>bike</t>
        </is>
      </c>
      <c r="F137" s="7" t="inlineStr">
        <is>
          <t>Spin bike — Z2</t>
        </is>
      </c>
      <c r="G137" s="5" t="inlineStr">
        <is>
          <t>40 min</t>
        </is>
      </c>
      <c r="H137" s="8" t="n"/>
      <c r="I137" s="9" t="n"/>
      <c r="J137" s="10" t="n"/>
      <c r="K137" s="11" t="n"/>
      <c r="L137" s="12" t="n"/>
      <c r="M137" s="10" t="n"/>
      <c r="N137" s="10" t="n"/>
      <c r="O137" s="13" t="n"/>
      <c r="P137" s="7" t="inlineStr">
        <is>
          <t>Second ride of the week, easy. Edmonton is icy in late November, so all riding this week is indoors. Forty minutes at 130–145 bpm is enough to hold the aerobic base.</t>
        </is>
      </c>
    </row>
    <row r="138">
      <c r="A138" s="4" t="inlineStr">
        <is>
          <t>2026-11-26</t>
        </is>
      </c>
      <c r="B138" s="5" t="inlineStr">
        <is>
          <t>Thu</t>
        </is>
      </c>
      <c r="C138" s="5" t="n">
        <v>10</v>
      </c>
      <c r="D138" s="5" t="inlineStr">
        <is>
          <t>build2</t>
        </is>
      </c>
      <c r="E138" s="15" t="inlineStr">
        <is>
          <t>run</t>
        </is>
      </c>
      <c r="F138" s="7" t="inlineStr">
        <is>
          <t>Easy run — 4 km</t>
        </is>
      </c>
      <c r="G138" s="5" t="inlineStr">
        <is>
          <t>28–30 min</t>
        </is>
      </c>
      <c r="H138" s="8" t="n"/>
      <c r="I138" s="9" t="n">
        <v>4</v>
      </c>
      <c r="J138" s="10" t="n"/>
      <c r="K138" s="11" t="n"/>
      <c r="L138" s="12" t="n"/>
      <c r="M138" s="10" t="n"/>
      <c r="N138" s="10" t="n"/>
      <c r="O138" s="13" t="n"/>
      <c r="P138" s="7" t="inlineStr">
        <is>
          <t>Indoor track or treadmill. Edmonton in late November is icy and dark — this is the week to accept the treadmill rather than risk a fall.</t>
        </is>
      </c>
    </row>
    <row r="139">
      <c r="A139" s="4" t="inlineStr">
        <is>
          <t>2026-11-26</t>
        </is>
      </c>
      <c r="B139" s="5" t="inlineStr">
        <is>
          <t>Thu</t>
        </is>
      </c>
      <c r="C139" s="5" t="n">
        <v>10</v>
      </c>
      <c r="D139" s="5" t="inlineStr">
        <is>
          <t>build2</t>
        </is>
      </c>
      <c r="E139" s="14" t="inlineStr">
        <is>
          <t>strength</t>
        </is>
      </c>
      <c r="F139" s="7" t="inlineStr">
        <is>
          <t>Full body B — single-leg + press</t>
        </is>
      </c>
      <c r="G139" s="5" t="inlineStr">
        <is>
          <t>40–45 min</t>
        </is>
      </c>
      <c r="H139" s="8" t="n"/>
      <c r="I139" s="9" t="n"/>
      <c r="J139" s="10" t="n"/>
      <c r="K139" s="11" t="n"/>
      <c r="L139" s="12" t="n"/>
      <c r="M139" s="10" t="n"/>
      <c r="N139" s="10" t="n"/>
      <c r="O139" s="13" t="n"/>
      <c r="P139" s="7" t="inlineStr">
        <is>
          <t>Full body B in the Edmonton gym. Same equipment, so nothing needs substituting — find the Smith machine and the box before you start.</t>
        </is>
      </c>
    </row>
    <row r="140">
      <c r="A140" s="4" t="inlineStr">
        <is>
          <t>2026-11-27</t>
        </is>
      </c>
      <c r="B140" s="5" t="inlineStr">
        <is>
          <t>Fri</t>
        </is>
      </c>
      <c r="C140" s="5" t="n">
        <v>10</v>
      </c>
      <c r="D140" s="5" t="inlineStr">
        <is>
          <t>build2</t>
        </is>
      </c>
      <c r="E140" s="6" t="inlineStr">
        <is>
          <t>swim</t>
        </is>
      </c>
      <c r="F140" s="7" t="inlineStr">
        <is>
          <t>Swim — long aerobic 1,800</t>
        </is>
      </c>
      <c r="G140" s="5" t="inlineStr">
        <is>
          <t>3,000 yd · 67–88 min</t>
        </is>
      </c>
      <c r="H140" s="8" t="n">
        <v>3000</v>
      </c>
      <c r="I140" s="9" t="n"/>
      <c r="J140" s="10" t="n"/>
      <c r="K140" s="11" t="n"/>
      <c r="L140" s="12" t="n"/>
      <c r="M140" s="10" t="n"/>
      <c r="N140" s="10" t="n"/>
      <c r="O140" s="13" t="n"/>
      <c r="P140" s="7" t="inlineStr">
        <is>
          <t>Warm-up 300. Main: 1,800 continuous, then 6 × 100 at CSS. Cool-down 300. Left breathing returns to continuous swimming here, eight weeks after Oct 2 and only if the Week 7 graduation test went well — one 25 breathing left at the start of every 300, and nothing more. Twenty-five yards is short enough that you can bail onto your right side before anything sinks, which is the whole reason the dose is that small. If the hips drop even once, stop doing it for the rest of the swim and keep it in drills a while longer; the 1,800 is the session and the breathing is a passenger.</t>
        </is>
      </c>
    </row>
    <row r="141">
      <c r="A141" s="4" t="inlineStr">
        <is>
          <t>2026-11-27</t>
        </is>
      </c>
      <c r="B141" s="5" t="inlineStr">
        <is>
          <t>Fri</t>
        </is>
      </c>
      <c r="C141" s="5" t="n">
        <v>10</v>
      </c>
      <c r="D141" s="5" t="inlineStr">
        <is>
          <t>build2</t>
        </is>
      </c>
      <c r="E141" s="16" t="inlineStr">
        <is>
          <t>bike</t>
        </is>
      </c>
      <c r="F141" s="7" t="inlineStr">
        <is>
          <t>Spin bike — Z2</t>
        </is>
      </c>
      <c r="G141" s="5" t="inlineStr">
        <is>
          <t>50 min</t>
        </is>
      </c>
      <c r="H141" s="8" t="n"/>
      <c r="I141" s="9" t="n"/>
      <c r="J141" s="10" t="n"/>
      <c r="K141" s="11" t="n"/>
      <c r="L141" s="12" t="n"/>
      <c r="M141" s="10" t="n"/>
      <c r="N141" s="10" t="n"/>
      <c r="O141" s="13" t="n"/>
      <c r="P141" s="7" t="inlineStr">
        <is>
          <t>Easy aerobic hour on the spin bike.</t>
        </is>
      </c>
    </row>
    <row r="142">
      <c r="A142" s="4" t="inlineStr">
        <is>
          <t>2026-11-28</t>
        </is>
      </c>
      <c r="B142" s="5" t="inlineStr">
        <is>
          <t>Sat</t>
        </is>
      </c>
      <c r="C142" s="5" t="n">
        <v>10</v>
      </c>
      <c r="D142" s="5" t="inlineStr">
        <is>
          <t>build2</t>
        </is>
      </c>
      <c r="E142" s="5" t="inlineStr">
        <is>
          <t>cardio</t>
        </is>
      </c>
      <c r="F142" s="7" t="inlineStr">
        <is>
          <t>Weekend flex — ride, hike or ski</t>
        </is>
      </c>
      <c r="G142" s="5" t="inlineStr">
        <is>
          <t>1.5–2.5 hr</t>
        </is>
      </c>
      <c r="H142" s="8" t="n"/>
      <c r="I142" s="9" t="n"/>
      <c r="J142" s="10" t="n"/>
      <c r="K142" s="11" t="n"/>
      <c r="L142" s="12" t="n"/>
      <c r="M142" s="10" t="n"/>
      <c r="N142" s="10" t="n"/>
      <c r="O142" s="13" t="n"/>
      <c r="P142" s="7" t="inlineStr">
        <is>
          <t>Edmonton edition: a cross-country ski if there is snow, a long winter walk with 20 lb in the pack (the fortnight's Rainier work), or a long indoor spin if it is brutal out. Counts as a ride either way.</t>
        </is>
      </c>
    </row>
    <row r="143">
      <c r="A143" s="4" t="inlineStr">
        <is>
          <t>2026-11-29</t>
        </is>
      </c>
      <c r="B143" s="5" t="inlineStr">
        <is>
          <t>Sun</t>
        </is>
      </c>
      <c r="C143" s="5" t="n">
        <v>10</v>
      </c>
      <c r="D143" s="5" t="inlineStr">
        <is>
          <t>build2</t>
        </is>
      </c>
      <c r="E143" s="15" t="inlineStr">
        <is>
          <t>run</t>
        </is>
      </c>
      <c r="F143" s="7" t="inlineStr">
        <is>
          <t>Long run — 7 km</t>
        </is>
      </c>
      <c r="G143" s="5" t="inlineStr">
        <is>
          <t>45–50 min</t>
        </is>
      </c>
      <c r="H143" s="8" t="n"/>
      <c r="I143" s="9" t="n">
        <v>7</v>
      </c>
      <c r="J143" s="10" t="n"/>
      <c r="K143" s="11" t="n"/>
      <c r="L143" s="12" t="n"/>
      <c r="M143" s="10" t="n"/>
      <c r="N143" s="10" t="n"/>
      <c r="O143" s="13" t="n"/>
      <c r="P143" s="7" t="inlineStr">
        <is>
          <t>Down-week long run, shorter than last week on purpose. Indoor track if the footing is bad. Floats to Saturday if the flex slot wants Sunday.</t>
        </is>
      </c>
    </row>
    <row r="144">
      <c r="A144" s="4" t="inlineStr">
        <is>
          <t>2026-11-29</t>
        </is>
      </c>
      <c r="B144" s="5" t="inlineStr">
        <is>
          <t>Sun</t>
        </is>
      </c>
      <c r="C144" s="5" t="n">
        <v>10</v>
      </c>
      <c r="D144" s="5" t="inlineStr">
        <is>
          <t>build2</t>
        </is>
      </c>
      <c r="E144" s="5" t="inlineStr">
        <is>
          <t>mobility</t>
        </is>
      </c>
      <c r="F144" s="7" t="inlineStr">
        <is>
          <t>Mobility + lower-leg prehab</t>
        </is>
      </c>
      <c r="G144" s="5" t="inlineStr">
        <is>
          <t>20 min</t>
        </is>
      </c>
      <c r="H144" s="8" t="n"/>
      <c r="I144" s="9" t="n"/>
      <c r="J144" s="10" t="n"/>
      <c r="K144" s="11" t="n"/>
      <c r="L144" s="12" t="n"/>
      <c r="M144" s="10" t="n"/>
      <c r="N144" s="10" t="n"/>
      <c r="O144" s="13" t="n"/>
      <c r="P144" s="7" t="inlineStr">
        <is>
          <t>Mobility plus foot intrinsics.</t>
        </is>
      </c>
    </row>
    <row r="145">
      <c r="A145" s="4" t="inlineStr">
        <is>
          <t>2026-11-30</t>
        </is>
      </c>
      <c r="B145" s="5" t="inlineStr">
        <is>
          <t>Mon</t>
        </is>
      </c>
      <c r="C145" s="5" t="n">
        <v>11</v>
      </c>
      <c r="D145" s="5" t="inlineStr">
        <is>
          <t>build2</t>
        </is>
      </c>
      <c r="E145" s="6" t="inlineStr">
        <is>
          <t>swim</t>
        </is>
      </c>
      <c r="F145" s="7" t="inlineStr">
        <is>
          <t>Swim — threshold 10 × 100 (Edmonton)</t>
        </is>
      </c>
      <c r="G145" s="5" t="inlineStr">
        <is>
          <t>2,000 yd · 44–59 min</t>
        </is>
      </c>
      <c r="H145" s="8" t="n">
        <v>2000</v>
      </c>
      <c r="I145" s="9" t="n"/>
      <c r="J145" s="10" t="n"/>
      <c r="K145" s="11" t="n"/>
      <c r="L145" s="12" t="n"/>
      <c r="M145" s="10" t="n"/>
      <c r="N145" s="10" t="n"/>
      <c r="O145" s="13" t="n"/>
      <c r="P145" s="7" t="inlineStr">
        <is>
          <t>Warm-up 400. Drill 300 as 6 × 50, each drill twice: 6-1-6 / closed-fist / sighting. Fins throughout; snorkel off for 6-1-6 and sighting. Main: 10 × 100 at CSS on 2:10 — the tightest send-off yet. Cool-down 300.</t>
        </is>
      </c>
    </row>
    <row r="146">
      <c r="A146" s="4" t="inlineStr">
        <is>
          <t>2026-11-30</t>
        </is>
      </c>
      <c r="B146" s="5" t="inlineStr">
        <is>
          <t>Mon</t>
        </is>
      </c>
      <c r="C146" s="5" t="n">
        <v>11</v>
      </c>
      <c r="D146" s="5" t="inlineStr">
        <is>
          <t>build2</t>
        </is>
      </c>
      <c r="E146" s="14" t="inlineStr">
        <is>
          <t>strength</t>
        </is>
      </c>
      <c r="F146" s="7" t="inlineStr">
        <is>
          <t>Full body A — hinge + pull</t>
        </is>
      </c>
      <c r="G146" s="5" t="inlineStr">
        <is>
          <t>40–45 min</t>
        </is>
      </c>
      <c r="H146" s="8" t="n"/>
      <c r="I146" s="9" t="n"/>
      <c r="J146" s="10" t="n"/>
      <c r="K146" s="11" t="n"/>
      <c r="L146" s="12" t="n"/>
      <c r="M146" s="10" t="n"/>
      <c r="N146" s="10" t="n"/>
      <c r="O146" s="13" t="n"/>
      <c r="P146" s="7" t="inlineStr">
        <is>
          <t>The only lift of race week, and a full one. Normal loads — a 5 mile race does not need a strength taper, it just needs Monday to be the last time the legs are loaded.</t>
        </is>
      </c>
    </row>
    <row r="147">
      <c r="A147" s="4" t="inlineStr">
        <is>
          <t>2026-12-01</t>
        </is>
      </c>
      <c r="B147" s="5" t="inlineStr">
        <is>
          <t>Tue</t>
        </is>
      </c>
      <c r="C147" s="5" t="n">
        <v>11</v>
      </c>
      <c r="D147" s="5" t="inlineStr">
        <is>
          <t>build2</t>
        </is>
      </c>
      <c r="E147" s="15" t="inlineStr">
        <is>
          <t>run</t>
        </is>
      </c>
      <c r="F147" s="7" t="inlineStr">
        <is>
          <t>Easy run — 4 km</t>
        </is>
      </c>
      <c r="G147" s="5" t="inlineStr">
        <is>
          <t>25 min</t>
        </is>
      </c>
      <c r="H147" s="8" t="n"/>
      <c r="I147" s="9" t="n">
        <v>4</v>
      </c>
      <c r="J147" s="10" t="n"/>
      <c r="K147" s="11" t="n"/>
      <c r="L147" s="12" t="n"/>
      <c r="M147" s="10" t="n"/>
      <c r="N147" s="10" t="n"/>
      <c r="O147" s="13" t="n"/>
      <c r="P147" s="7" t="inlineStr">
        <is>
          <t>Travel day back to Seattle. Easy shakeout, whenever it fits.</t>
        </is>
      </c>
    </row>
    <row r="148">
      <c r="A148" s="4" t="inlineStr">
        <is>
          <t>2026-12-01</t>
        </is>
      </c>
      <c r="B148" s="5" t="inlineStr">
        <is>
          <t>Tue</t>
        </is>
      </c>
      <c r="C148" s="5" t="n">
        <v>11</v>
      </c>
      <c r="D148" s="5" t="inlineStr">
        <is>
          <t>build2</t>
        </is>
      </c>
      <c r="E148" s="5" t="inlineStr">
        <is>
          <t>mobility</t>
        </is>
      </c>
      <c r="F148" s="7" t="inlineStr">
        <is>
          <t>Mobility + lower-leg prehab</t>
        </is>
      </c>
      <c r="G148" s="5" t="inlineStr">
        <is>
          <t>15 min</t>
        </is>
      </c>
      <c r="H148" s="8" t="n"/>
      <c r="I148" s="9" t="n"/>
      <c r="J148" s="10" t="n"/>
      <c r="K148" s="11" t="n"/>
      <c r="L148" s="12" t="n"/>
      <c r="M148" s="10" t="n"/>
      <c r="N148" s="10" t="n"/>
      <c r="O148" s="13" t="n"/>
      <c r="P148" s="7" t="inlineStr">
        <is>
          <t>Ankle dorsiflexion (knee-to-wall), calf and soleus stretch, hip flexors, thoracic rotation, and 3 × 20 tibialis raises. Ten minutes of this beats an hour once a month.</t>
        </is>
      </c>
    </row>
    <row r="149">
      <c r="A149" s="4" t="inlineStr">
        <is>
          <t>2026-12-02</t>
        </is>
      </c>
      <c r="B149" s="5" t="inlineStr">
        <is>
          <t>Wed</t>
        </is>
      </c>
      <c r="C149" s="5" t="n">
        <v>11</v>
      </c>
      <c r="D149" s="5" t="inlineStr">
        <is>
          <t>build2</t>
        </is>
      </c>
      <c r="E149" s="6" t="inlineStr">
        <is>
          <t>swim</t>
        </is>
      </c>
      <c r="F149" s="7" t="inlineStr">
        <is>
          <t>Swim — speed</t>
        </is>
      </c>
      <c r="G149" s="5" t="inlineStr">
        <is>
          <t>2,000 yd · 44–59 min</t>
        </is>
      </c>
      <c r="H149" s="8" t="n">
        <v>2000</v>
      </c>
      <c r="I149" s="9" t="n"/>
      <c r="J149" s="10" t="n"/>
      <c r="K149" s="11" t="n"/>
      <c r="L149" s="12" t="n"/>
      <c r="M149" s="10" t="n"/>
      <c r="N149" s="10" t="n"/>
      <c r="O149" s="13" t="n"/>
      <c r="P149" s="7" t="inlineStr">
        <is>
          <t>Warm-up 300. Drill 400 as 8 × 50, each drill twice: breaststroke timing / stroke-count ladder / front scull / 6-1-6. Fins throughout; snorkel off for breaststroke timing and 6-1-6. Main: 16 × 50 on 1:05 alternating. 4 × 50 breaststroke. Cool-down 300.</t>
        </is>
      </c>
    </row>
    <row r="150">
      <c r="A150" s="4" t="inlineStr">
        <is>
          <t>2026-12-02</t>
        </is>
      </c>
      <c r="B150" s="5" t="inlineStr">
        <is>
          <t>Wed</t>
        </is>
      </c>
      <c r="C150" s="5" t="n">
        <v>11</v>
      </c>
      <c r="D150" s="5" t="inlineStr">
        <is>
          <t>build2</t>
        </is>
      </c>
      <c r="E150" s="16" t="inlineStr">
        <is>
          <t>bike</t>
        </is>
      </c>
      <c r="F150" s="7" t="inlineStr">
        <is>
          <t>Spin bike — easy Z2</t>
        </is>
      </c>
      <c r="G150" s="5" t="inlineStr">
        <is>
          <t>45 min</t>
        </is>
      </c>
      <c r="H150" s="8" t="n"/>
      <c r="I150" s="9" t="n"/>
      <c r="J150" s="10" t="n"/>
      <c r="K150" s="11" t="n"/>
      <c r="L150" s="12" t="n"/>
      <c r="M150" s="10" t="n"/>
      <c r="N150" s="10" t="n"/>
      <c r="O150" s="13" t="n"/>
      <c r="P150" s="7" t="inlineStr">
        <is>
          <t>Keep it aerobic this week; no threshold work with a race on Saturday.</t>
        </is>
      </c>
    </row>
    <row r="151">
      <c r="A151" s="4" t="inlineStr">
        <is>
          <t>2026-12-03</t>
        </is>
      </c>
      <c r="B151" s="5" t="inlineStr">
        <is>
          <t>Thu</t>
        </is>
      </c>
      <c r="C151" s="5" t="n">
        <v>11</v>
      </c>
      <c r="D151" s="5" t="inlineStr">
        <is>
          <t>build2</t>
        </is>
      </c>
      <c r="E151" s="15" t="inlineStr">
        <is>
          <t>run</t>
        </is>
      </c>
      <c r="F151" s="7" t="inlineStr">
        <is>
          <t>Race primer — 4 × 90 s (≈4 km)</t>
        </is>
      </c>
      <c r="G151" s="5" t="inlineStr">
        <is>
          <t>28 min</t>
        </is>
      </c>
      <c r="H151" s="8" t="n"/>
      <c r="I151" s="9" t="n">
        <v>4</v>
      </c>
      <c r="J151" s="10" t="n"/>
      <c r="K151" s="11" t="n"/>
      <c r="L151" s="12" t="n"/>
      <c r="M151" s="10" t="n"/>
      <c r="N151" s="10" t="n"/>
      <c r="O151" s="13" t="n"/>
      <c r="P151" s="7" t="inlineStr">
        <is>
          <t>Warm-up 10 min. Then 4 × 90 s at 5-mile race pace with 90 s easy between. Cool-down 8 min. Short, sharp, and well short of fatiguing — this wakes the legs up rather than tiring them.</t>
        </is>
      </c>
    </row>
    <row r="152">
      <c r="A152" s="4" t="inlineStr">
        <is>
          <t>2026-12-03</t>
        </is>
      </c>
      <c r="B152" s="5" t="inlineStr">
        <is>
          <t>Thu</t>
        </is>
      </c>
      <c r="C152" s="5" t="n">
        <v>11</v>
      </c>
      <c r="D152" s="5" t="inlineStr">
        <is>
          <t>build2</t>
        </is>
      </c>
      <c r="E152" s="6" t="inlineStr">
        <is>
          <t>swim</t>
        </is>
      </c>
      <c r="F152" s="7" t="inlineStr">
        <is>
          <t>Technique swim (short)</t>
        </is>
      </c>
      <c r="G152" s="5" t="inlineStr">
        <is>
          <t>1,600 yd · 36–47 min</t>
        </is>
      </c>
      <c r="H152" s="8" t="n">
        <v>1600</v>
      </c>
      <c r="I152" s="9" t="n"/>
      <c r="J152" s="10" t="n"/>
      <c r="K152" s="11" t="n"/>
      <c r="L152" s="12" t="n"/>
      <c r="M152" s="10" t="n"/>
      <c r="N152" s="10" t="n"/>
      <c r="O152" s="13" t="n"/>
      <c r="P152" s="7" t="inlineStr">
        <is>
          <t>About 1,600 yd total, all easy. No clock, no main set. Snorkel and fins for the first half — catch-up, fingertip drag and front scull, rotating through them — then easy 50s holding the feel. This session exists to raise frequency and keep the stroke fresh — leave the pool fresher than you arrived.</t>
        </is>
      </c>
    </row>
    <row r="153">
      <c r="A153" s="4" t="inlineStr">
        <is>
          <t>2026-12-04</t>
        </is>
      </c>
      <c r="B153" s="5" t="inlineStr">
        <is>
          <t>Fri</t>
        </is>
      </c>
      <c r="C153" s="5" t="n">
        <v>11</v>
      </c>
      <c r="D153" s="5" t="inlineStr">
        <is>
          <t>build2</t>
        </is>
      </c>
      <c r="E153" s="6" t="inlineStr">
        <is>
          <t>swim</t>
        </is>
      </c>
      <c r="F153" s="7" t="inlineStr">
        <is>
          <t>Swim — easy aerobic</t>
        </is>
      </c>
      <c r="G153" s="5" t="inlineStr">
        <is>
          <t>1,700 yd · 38–50 min</t>
        </is>
      </c>
      <c r="H153" s="8" t="n">
        <v>1700</v>
      </c>
      <c r="I153" s="9" t="n"/>
      <c r="J153" s="10" t="n"/>
      <c r="K153" s="11" t="n"/>
      <c r="L153" s="12" t="n"/>
      <c r="M153" s="10" t="n"/>
      <c r="N153" s="10" t="n"/>
      <c r="O153" s="13" t="n"/>
      <c r="P153" s="7" t="inlineStr">
        <is>
          <t>Warm-up 300. Main 1,000 easy continuous. 4 × 50 breaststroke. Cool-down 200. Genuinely easy — you race tomorrow.</t>
        </is>
      </c>
    </row>
    <row r="154">
      <c r="A154" s="4" t="inlineStr">
        <is>
          <t>2026-12-04</t>
        </is>
      </c>
      <c r="B154" s="5" t="inlineStr">
        <is>
          <t>Fri</t>
        </is>
      </c>
      <c r="C154" s="5" t="n">
        <v>11</v>
      </c>
      <c r="D154" s="5" t="inlineStr">
        <is>
          <t>build2</t>
        </is>
      </c>
      <c r="E154" s="5" t="inlineStr">
        <is>
          <t>mobility</t>
        </is>
      </c>
      <c r="F154" s="7" t="inlineStr">
        <is>
          <t>Mobility + lower-leg prehab</t>
        </is>
      </c>
      <c r="G154" s="5" t="inlineStr">
        <is>
          <t>20 min</t>
        </is>
      </c>
      <c r="H154" s="8" t="n"/>
      <c r="I154" s="9" t="n"/>
      <c r="J154" s="10" t="n"/>
      <c r="K154" s="11" t="n"/>
      <c r="L154" s="12" t="n"/>
      <c r="M154" s="10" t="n"/>
      <c r="N154" s="10" t="n"/>
      <c r="O154" s="13" t="n"/>
      <c r="P154" s="7" t="inlineStr">
        <is>
          <t>Mobility and foot intrinsics. Lay out race kit; run in the orthotics you have trained in, not new ones.</t>
        </is>
      </c>
    </row>
    <row r="155">
      <c r="A155" s="4" t="inlineStr">
        <is>
          <t>2026-12-05</t>
        </is>
      </c>
      <c r="B155" s="5" t="inlineStr">
        <is>
          <t>Sat</t>
        </is>
      </c>
      <c r="C155" s="5" t="n">
        <v>11</v>
      </c>
      <c r="D155" s="5" t="inlineStr">
        <is>
          <t>build2</t>
        </is>
      </c>
      <c r="E155" s="15" t="inlineStr">
        <is>
          <t>run</t>
        </is>
      </c>
      <c r="F155" s="7" t="inlineStr">
        <is>
          <t>RACE — Redmond Reindeer Romp 5 mile (8 km)</t>
        </is>
      </c>
      <c r="G155" s="5" t="inlineStr">
        <is>
          <t>55–65 min</t>
        </is>
      </c>
      <c r="H155" s="8" t="n"/>
      <c r="I155" s="9" t="n">
        <v>8</v>
      </c>
      <c r="J155" s="10" t="n"/>
      <c r="K155" s="11" t="n"/>
      <c r="L155" s="12" t="n"/>
      <c r="M155" s="10" t="n"/>
      <c r="N155" s="10" t="n"/>
      <c r="O155" s="13" t="n"/>
      <c r="P155" s="7" t="inlineStr">
        <is>
          <t>Warm-up 1.5 km easy with 3 strides. Race: go out at 5:10/km for the first mile and let it come down — the classic error here is a first mile 20 s too fast. Target roughly 40–42 min if the shins are quiet; if they are not, run it as a steady effort and enjoy the morning. Cool-down 1 km.</t>
        </is>
      </c>
    </row>
    <row r="156">
      <c r="A156" s="4" t="inlineStr">
        <is>
          <t>2026-12-06</t>
        </is>
      </c>
      <c r="B156" s="5" t="inlineStr">
        <is>
          <t>Sun</t>
        </is>
      </c>
      <c r="C156" s="5" t="n">
        <v>11</v>
      </c>
      <c r="D156" s="5" t="inlineStr">
        <is>
          <t>build2</t>
        </is>
      </c>
      <c r="E156" s="5" t="inlineStr">
        <is>
          <t>mobility</t>
        </is>
      </c>
      <c r="F156" s="7" t="inlineStr">
        <is>
          <t>Mobility + lower-leg prehab</t>
        </is>
      </c>
      <c r="G156" s="5" t="inlineStr">
        <is>
          <t>25 min</t>
        </is>
      </c>
      <c r="H156" s="8" t="n"/>
      <c r="I156" s="9" t="n"/>
      <c r="J156" s="10" t="n"/>
      <c r="K156" s="11" t="n"/>
      <c r="L156" s="12" t="n"/>
      <c r="M156" s="10" t="n"/>
      <c r="N156" s="10" t="n"/>
      <c r="O156" s="13" t="n"/>
      <c r="P156" s="7" t="inlineStr">
        <is>
          <t>Thorough post-race mobility. Calves and shins will be the sorest — be gentle, and do not stretch into compartment pain. The old Sunday recovery swim is gone with the rest of the weekend swims; four swims and about 7,300 yd already clear the streak in a race week, and the day after 8 km is a day the legs want off their feet rather than another session.</t>
        </is>
      </c>
    </row>
    <row r="157">
      <c r="A157" s="4" t="inlineStr">
        <is>
          <t>2026-12-07</t>
        </is>
      </c>
      <c r="B157" s="5" t="inlineStr">
        <is>
          <t>Mon</t>
        </is>
      </c>
      <c r="C157" s="5" t="n">
        <v>12</v>
      </c>
      <c r="D157" s="5" t="inlineStr">
        <is>
          <t>travel</t>
        </is>
      </c>
      <c r="E157" s="6" t="inlineStr">
        <is>
          <t>swim</t>
        </is>
      </c>
      <c r="F157" s="7" t="inlineStr">
        <is>
          <t>Swim — threshold 8 × 150</t>
        </is>
      </c>
      <c r="G157" s="5" t="inlineStr">
        <is>
          <t>2,400 yd · 53–71 min</t>
        </is>
      </c>
      <c r="H157" s="8" t="n">
        <v>2400</v>
      </c>
      <c r="I157" s="9" t="n"/>
      <c r="J157" s="10" t="n"/>
      <c r="K157" s="11" t="n"/>
      <c r="L157" s="12" t="n"/>
      <c r="M157" s="10" t="n"/>
      <c r="N157" s="10" t="n"/>
      <c r="O157" s="13" t="n"/>
      <c r="P157" s="7" t="inlineStr">
        <is>
          <t>Warm-up 400. Drill 400 as 8 × 50, each drill twice: closed-fist / sighting / breaststroke timing / stroke-count ladder. Fins throughout; snorkel off for sighting and breaststroke timing. Main: 8 × 150 at CSS on 3:20. Cool-down 400. Post-race, so the legs are tired but the shoulders are fine — swimming is the perfect recovery training.</t>
        </is>
      </c>
    </row>
    <row r="158">
      <c r="A158" s="4" t="inlineStr">
        <is>
          <t>2026-12-07</t>
        </is>
      </c>
      <c r="B158" s="5" t="inlineStr">
        <is>
          <t>Mon</t>
        </is>
      </c>
      <c r="C158" s="5" t="n">
        <v>12</v>
      </c>
      <c r="D158" s="5" t="inlineStr">
        <is>
          <t>travel</t>
        </is>
      </c>
      <c r="E158" s="16" t="inlineStr">
        <is>
          <t>bike</t>
        </is>
      </c>
      <c r="F158" s="7" t="inlineStr">
        <is>
          <t>Easy spin</t>
        </is>
      </c>
      <c r="G158" s="5" t="inlineStr">
        <is>
          <t>45 min</t>
        </is>
      </c>
      <c r="H158" s="8" t="n"/>
      <c r="I158" s="9" t="n"/>
      <c r="J158" s="10" t="n"/>
      <c r="K158" s="11" t="n"/>
      <c r="L158" s="12" t="n"/>
      <c r="M158" s="10" t="n"/>
      <c r="N158" s="10" t="n"/>
      <c r="O158" s="13" t="n"/>
      <c r="P158" s="7" t="inlineStr">
        <is>
          <t>Flush the legs after Saturday. No strength this week's start — let the race settle.</t>
        </is>
      </c>
    </row>
    <row r="159">
      <c r="A159" s="4" t="inlineStr">
        <is>
          <t>2026-12-08</t>
        </is>
      </c>
      <c r="B159" s="5" t="inlineStr">
        <is>
          <t>Tue</t>
        </is>
      </c>
      <c r="C159" s="5" t="n">
        <v>12</v>
      </c>
      <c r="D159" s="5" t="inlineStr">
        <is>
          <t>travel</t>
        </is>
      </c>
      <c r="E159" s="6" t="inlineStr">
        <is>
          <t>swim</t>
        </is>
      </c>
      <c r="F159" s="7" t="inlineStr">
        <is>
          <t>Swim — speed + breaststroke</t>
        </is>
      </c>
      <c r="G159" s="5" t="inlineStr">
        <is>
          <t>2,000 yd · 44–59 min</t>
        </is>
      </c>
      <c r="H159" s="8" t="n">
        <v>2000</v>
      </c>
      <c r="I159" s="9" t="n"/>
      <c r="J159" s="10" t="n"/>
      <c r="K159" s="11" t="n"/>
      <c r="L159" s="12" t="n"/>
      <c r="M159" s="10" t="n"/>
      <c r="N159" s="10" t="n"/>
      <c r="O159" s="13" t="n"/>
      <c r="P159" s="7" t="inlineStr">
        <is>
          <t>Warm-up 300. Drill 400 as 8 × 50, each drill twice: front scull / 6-1-6 / closed-fist / sighting. Fins throughout; snorkel off for 6-1-6 and sighting. Main: 20 × 50 on 1:05 alternating. Then 200 breaststroke continuous — the Week 12 checkpoint. Cool-down 300.</t>
        </is>
      </c>
    </row>
    <row r="160">
      <c r="A160" s="4" t="inlineStr">
        <is>
          <t>2026-12-08</t>
        </is>
      </c>
      <c r="B160" s="5" t="inlineStr">
        <is>
          <t>Tue</t>
        </is>
      </c>
      <c r="C160" s="5" t="n">
        <v>12</v>
      </c>
      <c r="D160" s="5" t="inlineStr">
        <is>
          <t>travel</t>
        </is>
      </c>
      <c r="E160" s="15" t="inlineStr">
        <is>
          <t>run</t>
        </is>
      </c>
      <c r="F160" s="7" t="inlineStr">
        <is>
          <t>Easy run — 4 km</t>
        </is>
      </c>
      <c r="G160" s="5" t="inlineStr">
        <is>
          <t>28 min</t>
        </is>
      </c>
      <c r="H160" s="8" t="n"/>
      <c r="I160" s="9" t="n">
        <v>4</v>
      </c>
      <c r="J160" s="10" t="n"/>
      <c r="K160" s="11" t="n"/>
      <c r="L160" s="12" t="n"/>
      <c r="M160" s="10" t="n"/>
      <c r="N160" s="10" t="n"/>
      <c r="O160" s="13" t="n"/>
      <c r="P160" s="7" t="inlineStr">
        <is>
          <t>First run back after the race. Easy, short, soft surface.</t>
        </is>
      </c>
    </row>
    <row r="161">
      <c r="A161" s="4" t="inlineStr">
        <is>
          <t>2026-12-09</t>
        </is>
      </c>
      <c r="B161" s="5" t="inlineStr">
        <is>
          <t>Wed</t>
        </is>
      </c>
      <c r="C161" s="5" t="n">
        <v>12</v>
      </c>
      <c r="D161" s="5" t="inlineStr">
        <is>
          <t>travel</t>
        </is>
      </c>
      <c r="E161" s="6" t="inlineStr">
        <is>
          <t>swim</t>
        </is>
      </c>
      <c r="F161" s="7" t="inlineStr">
        <is>
          <t>Swim — long aerobic 1,400</t>
        </is>
      </c>
      <c r="G161" s="5" t="inlineStr">
        <is>
          <t>2,400 yd · 53–71 min</t>
        </is>
      </c>
      <c r="H161" s="8" t="n">
        <v>2400</v>
      </c>
      <c r="I161" s="9" t="n"/>
      <c r="J161" s="10" t="n"/>
      <c r="K161" s="11" t="n"/>
      <c r="L161" s="12" t="n"/>
      <c r="M161" s="10" t="n"/>
      <c r="N161" s="10" t="n"/>
      <c r="O161" s="13" t="n"/>
      <c r="P161" s="7" t="inlineStr">
        <is>
          <t>Warm-up 300. Main: 1,400 continuous, then 4 × 100 at CSS. Cool-down 300. Morning session — flight is at 4:30 pm. Three swims brings the week to about 6,800 yd, so the streak holds through the trip.</t>
        </is>
      </c>
    </row>
    <row r="162">
      <c r="A162" s="4" t="inlineStr">
        <is>
          <t>2026-12-09</t>
        </is>
      </c>
      <c r="B162" s="5" t="inlineStr">
        <is>
          <t>Wed</t>
        </is>
      </c>
      <c r="C162" s="5" t="n">
        <v>12</v>
      </c>
      <c r="D162" s="5" t="inlineStr">
        <is>
          <t>travel</t>
        </is>
      </c>
      <c r="E162" s="5" t="inlineStr">
        <is>
          <t>mobility</t>
        </is>
      </c>
      <c r="F162" s="7" t="inlineStr">
        <is>
          <t>Mobility + lower-leg prehab</t>
        </is>
      </c>
      <c r="G162" s="5" t="inlineStr">
        <is>
          <t>15 min</t>
        </is>
      </c>
      <c r="H162" s="8" t="n"/>
      <c r="I162" s="9" t="n"/>
      <c r="J162" s="10" t="n"/>
      <c r="K162" s="11" t="n"/>
      <c r="L162" s="12" t="n"/>
      <c r="M162" s="10" t="n"/>
      <c r="N162" s="10" t="n"/>
      <c r="O162" s="13" t="n"/>
      <c r="P162" s="7" t="inlineStr">
        <is>
          <t>Pre-flight mobility.</t>
        </is>
      </c>
    </row>
    <row r="163">
      <c r="A163" s="4" t="inlineStr">
        <is>
          <t>2026-12-10</t>
        </is>
      </c>
      <c r="B163" s="5" t="inlineStr">
        <is>
          <t>Thu</t>
        </is>
      </c>
      <c r="C163" s="5" t="n">
        <v>12</v>
      </c>
      <c r="D163" s="5" t="inlineStr">
        <is>
          <t>travel</t>
        </is>
      </c>
      <c r="E163" s="15" t="inlineStr">
        <is>
          <t>run</t>
        </is>
      </c>
      <c r="F163" s="7" t="inlineStr">
        <is>
          <t>Easy run — 5 km</t>
        </is>
      </c>
      <c r="G163" s="5" t="inlineStr">
        <is>
          <t>35 min</t>
        </is>
      </c>
      <c r="H163" s="8" t="n"/>
      <c r="I163" s="9" t="n">
        <v>5</v>
      </c>
      <c r="J163" s="10" t="n"/>
      <c r="K163" s="11" t="n"/>
      <c r="L163" s="12" t="n"/>
      <c r="M163" s="10" t="n"/>
      <c r="N163" s="10" t="n"/>
      <c r="O163" s="13" t="n"/>
      <c r="P163" s="7" t="inlineStr">
        <is>
          <t>Orlando, wedding day one. Get it done early — Florida in December is pleasant at 7 am and the day will get away from you. Easy pace.</t>
        </is>
      </c>
    </row>
    <row r="164">
      <c r="A164" s="4" t="inlineStr">
        <is>
          <t>2026-12-10</t>
        </is>
      </c>
      <c r="B164" s="5" t="inlineStr">
        <is>
          <t>Thu</t>
        </is>
      </c>
      <c r="C164" s="5" t="n">
        <v>12</v>
      </c>
      <c r="D164" s="5" t="inlineStr">
        <is>
          <t>travel</t>
        </is>
      </c>
      <c r="E164" s="5" t="inlineStr">
        <is>
          <t>mobility</t>
        </is>
      </c>
      <c r="F164" s="7" t="inlineStr">
        <is>
          <t>Mobility + lower-leg prehab</t>
        </is>
      </c>
      <c r="G164" s="5" t="inlineStr">
        <is>
          <t>15 min</t>
        </is>
      </c>
      <c r="H164" s="8" t="n"/>
      <c r="I164" s="9" t="n"/>
      <c r="J164" s="10" t="n"/>
      <c r="K164" s="11" t="n"/>
      <c r="L164" s="12" t="n"/>
      <c r="M164" s="10" t="n"/>
      <c r="N164" s="10" t="n"/>
      <c r="O164" s="13" t="n"/>
      <c r="P164" s="7" t="inlineStr">
        <is>
          <t>Ankle dorsiflexion (knee-to-wall), calf and soleus stretch, hip flexors, thoracic rotation, and 3 × 20 tibialis raises. Ten minutes of this beats an hour once a month.</t>
        </is>
      </c>
    </row>
    <row r="165">
      <c r="A165" s="4" t="inlineStr">
        <is>
          <t>2026-12-11</t>
        </is>
      </c>
      <c r="B165" s="5" t="inlineStr">
        <is>
          <t>Fri</t>
        </is>
      </c>
      <c r="C165" s="5" t="n">
        <v>12</v>
      </c>
      <c r="D165" s="5" t="inlineStr">
        <is>
          <t>travel</t>
        </is>
      </c>
      <c r="E165" s="14" t="inlineStr">
        <is>
          <t>strength</t>
        </is>
      </c>
      <c r="F165" s="7" t="inlineStr">
        <is>
          <t>Bands + bodyweight circuit</t>
        </is>
      </c>
      <c r="G165" s="5" t="inlineStr">
        <is>
          <t>25 min</t>
        </is>
      </c>
      <c r="H165" s="8" t="n"/>
      <c r="I165" s="9" t="n"/>
      <c r="J165" s="10" t="n"/>
      <c r="K165" s="11" t="n"/>
      <c r="L165" s="12" t="n"/>
      <c r="M165" s="10" t="n"/>
      <c r="N165" s="10" t="n"/>
      <c r="O165" s="13" t="n"/>
      <c r="P165" s="7" t="inlineStr">
        <is>
          <t>Orlando, wedding day two. Short bands-and-bodyweight session in the room before the day starts: 2 rounds of banded RDL 15, split squat 10/leg, banded lateral walk 15/side, calf raise 20, tibialis raise 20, dead bug 10/side. Twenty-five minutes, no equipment, and it keeps the lower-leg work unbroken through the one week that would otherwise lose it.</t>
        </is>
      </c>
    </row>
    <row r="166">
      <c r="A166" s="4" t="inlineStr">
        <is>
          <t>2026-12-11</t>
        </is>
      </c>
      <c r="B166" s="5" t="inlineStr">
        <is>
          <t>Fri</t>
        </is>
      </c>
      <c r="C166" s="5" t="n">
        <v>12</v>
      </c>
      <c r="D166" s="5" t="inlineStr">
        <is>
          <t>travel</t>
        </is>
      </c>
      <c r="E166" s="5" t="inlineStr">
        <is>
          <t>mobility</t>
        </is>
      </c>
      <c r="F166" s="7" t="inlineStr">
        <is>
          <t>Walk + mobility</t>
        </is>
      </c>
      <c r="G166" s="5" t="inlineStr">
        <is>
          <t>20 min</t>
        </is>
      </c>
      <c r="H166" s="8" t="n"/>
      <c r="I166" s="9" t="n"/>
      <c r="J166" s="10" t="n"/>
      <c r="K166" s="11" t="n"/>
      <c r="L166" s="12" t="n"/>
      <c r="M166" s="10" t="n"/>
      <c r="N166" s="10" t="n"/>
      <c r="O166" s="13" t="n"/>
      <c r="P166" s="7" t="inlineStr">
        <is>
          <t>Mobility and a walk rather than a run — you ran yesterday and the week's third run is Sunday in Miami. Three runs, 15 km, is the cap for a travel week.</t>
        </is>
      </c>
    </row>
    <row r="167">
      <c r="A167" s="4" t="inlineStr">
        <is>
          <t>2026-12-12</t>
        </is>
      </c>
      <c r="B167" s="5" t="inlineStr">
        <is>
          <t>Sat</t>
        </is>
      </c>
      <c r="C167" s="5" t="n">
        <v>12</v>
      </c>
      <c r="D167" s="5" t="inlineStr">
        <is>
          <t>travel</t>
        </is>
      </c>
      <c r="E167" s="14" t="inlineStr">
        <is>
          <t>strength</t>
        </is>
      </c>
      <c r="F167" s="7" t="inlineStr">
        <is>
          <t>Hotel gym / bodyweight circuit</t>
        </is>
      </c>
      <c r="G167" s="5" t="inlineStr">
        <is>
          <t>35–40 min</t>
        </is>
      </c>
      <c r="H167" s="8" t="n"/>
      <c r="I167" s="9" t="n"/>
      <c r="J167" s="10" t="n"/>
      <c r="K167" s="11" t="n"/>
      <c r="L167" s="12" t="n"/>
      <c r="M167" s="10" t="n"/>
      <c r="N167" s="10" t="n"/>
      <c r="O167" s="13" t="n"/>
      <c r="P167" s="7" t="inlineStr">
        <is>
          <t>Miami. 3 rounds of split squat 10/leg, banded RDL 15, calf raise 20, tibialis raise 20, Copenhagen plank 20 s/side, dead bug 10/side, plank 45 s. If the hotel gym has weights, swap in RDLs.</t>
        </is>
      </c>
    </row>
    <row r="168">
      <c r="A168" s="4" t="inlineStr">
        <is>
          <t>2026-12-12</t>
        </is>
      </c>
      <c r="B168" s="5" t="inlineStr">
        <is>
          <t>Sat</t>
        </is>
      </c>
      <c r="C168" s="5" t="n">
        <v>12</v>
      </c>
      <c r="D168" s="5" t="inlineStr">
        <is>
          <t>travel</t>
        </is>
      </c>
      <c r="E168" s="5" t="inlineStr">
        <is>
          <t>mobility</t>
        </is>
      </c>
      <c r="F168" s="7" t="inlineStr">
        <is>
          <t>Mobility + lower-leg prehab</t>
        </is>
      </c>
      <c r="G168" s="5" t="inlineStr">
        <is>
          <t>15 min</t>
        </is>
      </c>
      <c r="H168" s="8" t="n"/>
      <c r="I168" s="9" t="n"/>
      <c r="J168" s="10" t="n"/>
      <c r="K168" s="11" t="n"/>
      <c r="L168" s="12" t="n"/>
      <c r="M168" s="10" t="n"/>
      <c r="N168" s="10" t="n"/>
      <c r="O168" s="13" t="n"/>
      <c r="P168" s="7" t="inlineStr">
        <is>
          <t>Ankle dorsiflexion (knee-to-wall), calf and soleus stretch, hip flexors, thoracic rotation, and 3 × 20 tibialis raises. Ten minutes of this beats an hour once a month.</t>
        </is>
      </c>
    </row>
    <row r="169">
      <c r="A169" s="4" t="inlineStr">
        <is>
          <t>2026-12-13</t>
        </is>
      </c>
      <c r="B169" s="5" t="inlineStr">
        <is>
          <t>Sun</t>
        </is>
      </c>
      <c r="C169" s="5" t="n">
        <v>12</v>
      </c>
      <c r="D169" s="5" t="inlineStr">
        <is>
          <t>travel</t>
        </is>
      </c>
      <c r="E169" s="15" t="inlineStr">
        <is>
          <t>run</t>
        </is>
      </c>
      <c r="F169" s="7" t="inlineStr">
        <is>
          <t>Easy run — 6 km</t>
        </is>
      </c>
      <c r="G169" s="5" t="inlineStr">
        <is>
          <t>40 min</t>
        </is>
      </c>
      <c r="H169" s="8" t="n"/>
      <c r="I169" s="9" t="n">
        <v>6</v>
      </c>
      <c r="J169" s="10" t="n"/>
      <c r="K169" s="11" t="n"/>
      <c r="L169" s="12" t="n"/>
      <c r="M169" s="10" t="n"/>
      <c r="N169" s="10" t="n"/>
      <c r="O169" s="13" t="n"/>
      <c r="P169" s="7" t="inlineStr">
        <is>
          <t>Miami. Beach path or boardwalk, easy. If the hotel has a pool worth swimming in, an easy 800–1,000 yd afterwards is a bonus, not a requirement.</t>
        </is>
      </c>
    </row>
    <row r="170">
      <c r="A170" s="4" t="inlineStr">
        <is>
          <t>2026-12-13</t>
        </is>
      </c>
      <c r="B170" s="5" t="inlineStr">
        <is>
          <t>Sun</t>
        </is>
      </c>
      <c r="C170" s="5" t="n">
        <v>12</v>
      </c>
      <c r="D170" s="5" t="inlineStr">
        <is>
          <t>travel</t>
        </is>
      </c>
      <c r="E170" s="5" t="inlineStr">
        <is>
          <t>mobility</t>
        </is>
      </c>
      <c r="F170" s="7" t="inlineStr">
        <is>
          <t>Mobility + lower-leg prehab</t>
        </is>
      </c>
      <c r="G170" s="5" t="inlineStr">
        <is>
          <t>15 min</t>
        </is>
      </c>
      <c r="H170" s="8" t="n"/>
      <c r="I170" s="9" t="n"/>
      <c r="J170" s="10" t="n"/>
      <c r="K170" s="11" t="n"/>
      <c r="L170" s="12" t="n"/>
      <c r="M170" s="10" t="n"/>
      <c r="N170" s="10" t="n"/>
      <c r="O170" s="13" t="n"/>
      <c r="P170" s="7" t="inlineStr">
        <is>
          <t>Mobility and foot intrinsics.</t>
        </is>
      </c>
    </row>
    <row r="171">
      <c r="A171" s="4" t="inlineStr">
        <is>
          <t>2026-12-14</t>
        </is>
      </c>
      <c r="B171" s="5" t="inlineStr">
        <is>
          <t>Mon</t>
        </is>
      </c>
      <c r="C171" s="5" t="n">
        <v>13</v>
      </c>
      <c r="D171" s="5" t="inlineStr">
        <is>
          <t>travel</t>
        </is>
      </c>
      <c r="E171" s="6" t="inlineStr">
        <is>
          <t>swim</t>
        </is>
      </c>
      <c r="F171" s="7" t="inlineStr">
        <is>
          <t>Swim — threshold 5 × 200</t>
        </is>
      </c>
      <c r="G171" s="5" t="inlineStr">
        <is>
          <t>2,000 yd · 44–59 min</t>
        </is>
      </c>
      <c r="H171" s="8" t="n">
        <v>2000</v>
      </c>
      <c r="I171" s="9" t="n"/>
      <c r="J171" s="10" t="n"/>
      <c r="K171" s="11" t="n"/>
      <c r="L171" s="12" t="n"/>
      <c r="M171" s="10" t="n"/>
      <c r="N171" s="10" t="n"/>
      <c r="O171" s="13" t="n"/>
      <c r="P171" s="7" t="inlineStr">
        <is>
          <t>Warm-up 400. Drill 300 as 6 × 50, each drill twice: breaststroke timing / stroke-count ladder / front scull. Fins throughout; snorkel off for breaststroke timing. Main: 5 × 200 at CSS on 4:25. Cool-down 300. Back in a pool after four days off — ease into the first 200.</t>
        </is>
      </c>
    </row>
    <row r="172">
      <c r="A172" s="4" t="inlineStr">
        <is>
          <t>2026-12-14</t>
        </is>
      </c>
      <c r="B172" s="5" t="inlineStr">
        <is>
          <t>Mon</t>
        </is>
      </c>
      <c r="C172" s="5" t="n">
        <v>13</v>
      </c>
      <c r="D172" s="5" t="inlineStr">
        <is>
          <t>travel</t>
        </is>
      </c>
      <c r="E172" s="14" t="inlineStr">
        <is>
          <t>strength</t>
        </is>
      </c>
      <c r="F172" s="7" t="inlineStr">
        <is>
          <t>Full body A — hinge + pull</t>
        </is>
      </c>
      <c r="G172" s="5" t="inlineStr">
        <is>
          <t>40–45 min</t>
        </is>
      </c>
      <c r="H172" s="8" t="n"/>
      <c r="I172" s="9" t="n"/>
      <c r="J172" s="10" t="n"/>
      <c r="K172" s="11" t="n"/>
      <c r="L172" s="12" t="n"/>
      <c r="M172" s="10" t="n"/>
      <c r="N172" s="10" t="n"/>
      <c r="O172" s="13" t="n"/>
      <c r="P172" s="7" t="inlineStr">
        <is>
          <t>First full lift since race week. Back the loads off slightly and rebuild.</t>
        </is>
      </c>
    </row>
    <row r="173">
      <c r="A173" s="4" t="inlineStr">
        <is>
          <t>2026-12-15</t>
        </is>
      </c>
      <c r="B173" s="5" t="inlineStr">
        <is>
          <t>Tue</t>
        </is>
      </c>
      <c r="C173" s="5" t="n">
        <v>13</v>
      </c>
      <c r="D173" s="5" t="inlineStr">
        <is>
          <t>travel</t>
        </is>
      </c>
      <c r="E173" s="15" t="inlineStr">
        <is>
          <t>run</t>
        </is>
      </c>
      <c r="F173" s="7" t="inlineStr">
        <is>
          <t>Easy run — 5 km</t>
        </is>
      </c>
      <c r="G173" s="5" t="inlineStr">
        <is>
          <t>35 min</t>
        </is>
      </c>
      <c r="H173" s="8" t="n"/>
      <c r="I173" s="9" t="n">
        <v>5</v>
      </c>
      <c r="J173" s="10" t="n"/>
      <c r="K173" s="11" t="n"/>
      <c r="L173" s="12" t="n"/>
      <c r="M173" s="10" t="n"/>
      <c r="N173" s="10" t="n"/>
      <c r="O173" s="13" t="n"/>
      <c r="P173" s="7" t="inlineStr">
        <is>
          <t>North Carolina. Explore — trails if there are any nearby.</t>
        </is>
      </c>
    </row>
    <row r="174">
      <c r="A174" s="4" t="inlineStr">
        <is>
          <t>2026-12-15</t>
        </is>
      </c>
      <c r="B174" s="5" t="inlineStr">
        <is>
          <t>Tue</t>
        </is>
      </c>
      <c r="C174" s="5" t="n">
        <v>13</v>
      </c>
      <c r="D174" s="5" t="inlineStr">
        <is>
          <t>travel</t>
        </is>
      </c>
      <c r="E174" s="5" t="inlineStr">
        <is>
          <t>mobility</t>
        </is>
      </c>
      <c r="F174" s="7" t="inlineStr">
        <is>
          <t>Mobility + lower-leg prehab</t>
        </is>
      </c>
      <c r="G174" s="5" t="inlineStr">
        <is>
          <t>15 min</t>
        </is>
      </c>
      <c r="H174" s="8" t="n"/>
      <c r="I174" s="9" t="n"/>
      <c r="J174" s="10" t="n"/>
      <c r="K174" s="11" t="n"/>
      <c r="L174" s="12" t="n"/>
      <c r="M174" s="10" t="n"/>
      <c r="N174" s="10" t="n"/>
      <c r="O174" s="13" t="n"/>
      <c r="P174" s="7" t="inlineStr">
        <is>
          <t>Ankle dorsiflexion (knee-to-wall), calf and soleus stretch, hip flexors, thoracic rotation, and 3 × 20 tibialis raises. Ten minutes of this beats an hour once a month.</t>
        </is>
      </c>
    </row>
    <row r="175">
      <c r="A175" s="4" t="inlineStr">
        <is>
          <t>2026-12-16</t>
        </is>
      </c>
      <c r="B175" s="5" t="inlineStr">
        <is>
          <t>Wed</t>
        </is>
      </c>
      <c r="C175" s="5" t="n">
        <v>13</v>
      </c>
      <c r="D175" s="5" t="inlineStr">
        <is>
          <t>travel</t>
        </is>
      </c>
      <c r="E175" s="6" t="inlineStr">
        <is>
          <t>swim</t>
        </is>
      </c>
      <c r="F175" s="7" t="inlineStr">
        <is>
          <t>Swim — speed 20 × 50</t>
        </is>
      </c>
      <c r="G175" s="5" t="inlineStr">
        <is>
          <t>2,200 yd · 49–65 min</t>
        </is>
      </c>
      <c r="H175" s="8" t="n">
        <v>2200</v>
      </c>
      <c r="I175" s="9" t="n"/>
      <c r="J175" s="10" t="n"/>
      <c r="K175" s="11" t="n"/>
      <c r="L175" s="12" t="n"/>
      <c r="M175" s="10" t="n"/>
      <c r="N175" s="10" t="n"/>
      <c r="O175" s="13" t="n"/>
      <c r="P175" s="7" t="inlineStr">
        <is>
          <t>Warm-up 300. Drill 400 as 8 × 50, each drill twice: 6-1-6 / closed-fist / sighting / breaststroke timing. Fins throughout; snorkel off for 6-1-6, sighting and breaststroke timing. Main: 20 × 50 on 1:05 alternating. 4 × 50 breaststroke. Cool-down 300.</t>
        </is>
      </c>
    </row>
    <row r="176">
      <c r="A176" s="4" t="inlineStr">
        <is>
          <t>2026-12-16</t>
        </is>
      </c>
      <c r="B176" s="5" t="inlineStr">
        <is>
          <t>Wed</t>
        </is>
      </c>
      <c r="C176" s="5" t="n">
        <v>13</v>
      </c>
      <c r="D176" s="5" t="inlineStr">
        <is>
          <t>travel</t>
        </is>
      </c>
      <c r="E176" s="16" t="inlineStr">
        <is>
          <t>bike</t>
        </is>
      </c>
      <c r="F176" s="7" t="inlineStr">
        <is>
          <t>Spin bike — sweet spot 3 × 10 min</t>
        </is>
      </c>
      <c r="G176" s="5" t="inlineStr">
        <is>
          <t>45 min</t>
        </is>
      </c>
      <c r="H176" s="8" t="n"/>
      <c r="I176" s="9" t="n"/>
      <c r="J176" s="10" t="n"/>
      <c r="K176" s="11" t="n"/>
      <c r="L176" s="12" t="n"/>
      <c r="M176" s="10" t="n"/>
      <c r="N176" s="10" t="n"/>
      <c r="O176" s="13" t="n"/>
      <c r="P176" s="7" t="inlineStr">
        <is>
          <t>3 × 10 min at sweet spot, 4 min easy between.</t>
        </is>
      </c>
    </row>
    <row r="177">
      <c r="A177" s="4" t="inlineStr">
        <is>
          <t>2026-12-17</t>
        </is>
      </c>
      <c r="B177" s="5" t="inlineStr">
        <is>
          <t>Thu</t>
        </is>
      </c>
      <c r="C177" s="5" t="n">
        <v>13</v>
      </c>
      <c r="D177" s="5" t="inlineStr">
        <is>
          <t>travel</t>
        </is>
      </c>
      <c r="E177" s="15" t="inlineStr">
        <is>
          <t>run</t>
        </is>
      </c>
      <c r="F177" s="7" t="inlineStr">
        <is>
          <t>Easy run — 4 km</t>
        </is>
      </c>
      <c r="G177" s="5" t="inlineStr">
        <is>
          <t>30 min</t>
        </is>
      </c>
      <c r="H177" s="8" t="n"/>
      <c r="I177" s="9" t="n">
        <v>4</v>
      </c>
      <c r="J177" s="10" t="n"/>
      <c r="K177" s="11" t="n"/>
      <c r="L177" s="12" t="n"/>
      <c r="M177" s="10" t="n"/>
      <c r="N177" s="10" t="n"/>
      <c r="O177" s="13" t="n"/>
      <c r="P177" s="7" t="inlineStr">
        <is>
          <t>Travel day home. Morning run before the flight.</t>
        </is>
      </c>
    </row>
    <row r="178">
      <c r="A178" s="4" t="inlineStr">
        <is>
          <t>2026-12-17</t>
        </is>
      </c>
      <c r="B178" s="5" t="inlineStr">
        <is>
          <t>Thu</t>
        </is>
      </c>
      <c r="C178" s="5" t="n">
        <v>13</v>
      </c>
      <c r="D178" s="5" t="inlineStr">
        <is>
          <t>travel</t>
        </is>
      </c>
      <c r="E178" s="6" t="inlineStr">
        <is>
          <t>swim</t>
        </is>
      </c>
      <c r="F178" s="7" t="inlineStr">
        <is>
          <t>Technique swim (short)</t>
        </is>
      </c>
      <c r="G178" s="5" t="inlineStr">
        <is>
          <t>1,400 yd · 31–41 min</t>
        </is>
      </c>
      <c r="H178" s="8" t="n">
        <v>1400</v>
      </c>
      <c r="I178" s="9" t="n"/>
      <c r="J178" s="10" t="n"/>
      <c r="K178" s="11" t="n"/>
      <c r="L178" s="12" t="n"/>
      <c r="M178" s="10" t="n"/>
      <c r="N178" s="10" t="n"/>
      <c r="O178" s="13" t="n"/>
      <c r="P178" s="7" t="inlineStr">
        <is>
          <t>About 1,400 yd total, all easy. No clock, no main set. Snorkel and fins for the first half — catch-up, fingertip drag and front scull, rotating through them — then easy 50s holding the feel. This session exists to raise frequency and keep the stroke fresh — leave the pool fresher than you arrived. This moved off Saturday with the rest of the weekend swims, so it lands on a travel morning — if the flight is early, this is the most droppable session of the week. Let it go rather than rushing it.</t>
        </is>
      </c>
    </row>
    <row r="179">
      <c r="A179" s="4" t="inlineStr">
        <is>
          <t>2026-12-17</t>
        </is>
      </c>
      <c r="B179" s="5" t="inlineStr">
        <is>
          <t>Thu</t>
        </is>
      </c>
      <c r="C179" s="5" t="n">
        <v>13</v>
      </c>
      <c r="D179" s="5" t="inlineStr">
        <is>
          <t>travel</t>
        </is>
      </c>
      <c r="E179" s="5" t="inlineStr">
        <is>
          <t>mobility</t>
        </is>
      </c>
      <c r="F179" s="7" t="inlineStr">
        <is>
          <t>Mobility + lower-leg prehab</t>
        </is>
      </c>
      <c r="G179" s="5" t="inlineStr">
        <is>
          <t>15 min</t>
        </is>
      </c>
      <c r="H179" s="8" t="n"/>
      <c r="I179" s="9" t="n"/>
      <c r="J179" s="10" t="n"/>
      <c r="K179" s="11" t="n"/>
      <c r="L179" s="12" t="n"/>
      <c r="M179" s="10" t="n"/>
      <c r="N179" s="10" t="n"/>
      <c r="O179" s="13" t="n"/>
      <c r="P179" s="7" t="inlineStr">
        <is>
          <t>Travel mobility.</t>
        </is>
      </c>
    </row>
    <row r="180">
      <c r="A180" s="4" t="inlineStr">
        <is>
          <t>2026-12-18</t>
        </is>
      </c>
      <c r="B180" s="5" t="inlineStr">
        <is>
          <t>Fri</t>
        </is>
      </c>
      <c r="C180" s="5" t="n">
        <v>13</v>
      </c>
      <c r="D180" s="5" t="inlineStr">
        <is>
          <t>travel</t>
        </is>
      </c>
      <c r="E180" s="6" t="inlineStr">
        <is>
          <t>swim</t>
        </is>
      </c>
      <c r="F180" s="7" t="inlineStr">
        <is>
          <t>Swim — long aerobic 1,600</t>
        </is>
      </c>
      <c r="G180" s="5" t="inlineStr">
        <is>
          <t>2,600 yd · 58–76 min</t>
        </is>
      </c>
      <c r="H180" s="8" t="n">
        <v>2600</v>
      </c>
      <c r="I180" s="9" t="n"/>
      <c r="J180" s="10" t="n"/>
      <c r="K180" s="11" t="n"/>
      <c r="L180" s="12" t="n"/>
      <c r="M180" s="10" t="n"/>
      <c r="N180" s="10" t="n"/>
      <c r="O180" s="13" t="n"/>
      <c r="P180" s="7" t="inlineStr">
        <is>
          <t>Warm-up 300. Main: 1,600 continuous, then 4 × 100 at CSS. Cool-down 300. Home pool.</t>
        </is>
      </c>
    </row>
    <row r="181">
      <c r="A181" s="4" t="inlineStr">
        <is>
          <t>2026-12-18</t>
        </is>
      </c>
      <c r="B181" s="5" t="inlineStr">
        <is>
          <t>Fri</t>
        </is>
      </c>
      <c r="C181" s="5" t="n">
        <v>13</v>
      </c>
      <c r="D181" s="5" t="inlineStr">
        <is>
          <t>travel</t>
        </is>
      </c>
      <c r="E181" s="14" t="inlineStr">
        <is>
          <t>strength</t>
        </is>
      </c>
      <c r="F181" s="7" t="inlineStr">
        <is>
          <t>Full body B — single-leg + press</t>
        </is>
      </c>
      <c r="G181" s="5" t="inlineStr">
        <is>
          <t>40–45 min</t>
        </is>
      </c>
      <c r="H181" s="8" t="n"/>
      <c r="I181" s="9" t="n"/>
      <c r="J181" s="10" t="n"/>
      <c r="K181" s="11" t="n"/>
      <c r="L181" s="12" t="n"/>
      <c r="M181" s="10" t="n"/>
      <c r="N181" s="10" t="n"/>
      <c r="O181" s="13" t="n"/>
      <c r="P181" s="7" t="inlineStr">
        <is>
          <t>Full body B, back in the home gym. It sits on Friday this week because Thursday is the travel day — so keep the long run on Sunday rather than floating it to Saturday, the day after a leg session.</t>
        </is>
      </c>
    </row>
    <row r="182">
      <c r="A182" s="4" t="inlineStr">
        <is>
          <t>2026-12-19</t>
        </is>
      </c>
      <c r="B182" s="5" t="inlineStr">
        <is>
          <t>Sat</t>
        </is>
      </c>
      <c r="C182" s="5" t="n">
        <v>13</v>
      </c>
      <c r="D182" s="5" t="inlineStr">
        <is>
          <t>travel</t>
        </is>
      </c>
      <c r="E182" s="5" t="inlineStr">
        <is>
          <t>cardio</t>
        </is>
      </c>
      <c r="F182" s="7" t="inlineStr">
        <is>
          <t>Weekend flex — ride, hike or ski</t>
        </is>
      </c>
      <c r="G182" s="5" t="inlineStr">
        <is>
          <t>2–3 hr</t>
        </is>
      </c>
      <c r="H182" s="8" t="n"/>
      <c r="I182" s="9" t="n"/>
      <c r="J182" s="10" t="n"/>
      <c r="K182" s="11" t="n"/>
      <c r="L182" s="12" t="n"/>
      <c r="M182" s="10" t="n"/>
      <c r="N182" s="10" t="n"/>
      <c r="O182" s="13" t="n"/>
      <c r="P182" s="7" t="inlineStr">
        <is>
          <t>Winter options: a ride if the roads are dry, a shorter hike with 20 lb, the first ski day of the season if the passes have opened, or a long spin indoors.</t>
        </is>
      </c>
    </row>
    <row r="183">
      <c r="A183" s="4" t="inlineStr">
        <is>
          <t>2026-12-20</t>
        </is>
      </c>
      <c r="B183" s="5" t="inlineStr">
        <is>
          <t>Sun</t>
        </is>
      </c>
      <c r="C183" s="5" t="n">
        <v>13</v>
      </c>
      <c r="D183" s="5" t="inlineStr">
        <is>
          <t>travel</t>
        </is>
      </c>
      <c r="E183" s="15" t="inlineStr">
        <is>
          <t>run</t>
        </is>
      </c>
      <c r="F183" s="7" t="inlineStr">
        <is>
          <t>Long run — 8 km</t>
        </is>
      </c>
      <c r="G183" s="5" t="inlineStr">
        <is>
          <t>50–55 min</t>
        </is>
      </c>
      <c r="H183" s="8" t="n"/>
      <c r="I183" s="9" t="n">
        <v>8</v>
      </c>
      <c r="J183" s="10" t="n"/>
      <c r="K183" s="11" t="n"/>
      <c r="L183" s="12" t="n"/>
      <c r="M183" s="10" t="n"/>
      <c r="N183" s="10" t="n"/>
      <c r="O183" s="13" t="n"/>
      <c r="P183" s="7" t="inlineStr">
        <is>
          <t>Back to race distance, easy. The run base is worth keeping through the holidays rather than rebuilding in January.</t>
        </is>
      </c>
    </row>
    <row r="184">
      <c r="A184" s="4" t="inlineStr">
        <is>
          <t>2026-12-20</t>
        </is>
      </c>
      <c r="B184" s="5" t="inlineStr">
        <is>
          <t>Sun</t>
        </is>
      </c>
      <c r="C184" s="5" t="n">
        <v>13</v>
      </c>
      <c r="D184" s="5" t="inlineStr">
        <is>
          <t>travel</t>
        </is>
      </c>
      <c r="E184" s="5" t="inlineStr">
        <is>
          <t>mobility</t>
        </is>
      </c>
      <c r="F184" s="7" t="inlineStr">
        <is>
          <t>Mobility + lower-leg prehab</t>
        </is>
      </c>
      <c r="G184" s="5" t="inlineStr">
        <is>
          <t>20 min</t>
        </is>
      </c>
      <c r="H184" s="8" t="n"/>
      <c r="I184" s="9" t="n"/>
      <c r="J184" s="10" t="n"/>
      <c r="K184" s="11" t="n"/>
      <c r="L184" s="12" t="n"/>
      <c r="M184" s="10" t="n"/>
      <c r="N184" s="10" t="n"/>
      <c r="O184" s="13" t="n"/>
      <c r="P184" s="7" t="inlineStr">
        <is>
          <t>Mobility plus foot intrinsics. Pack for Edmonton.</t>
        </is>
      </c>
    </row>
    <row r="185">
      <c r="A185" s="4" t="inlineStr">
        <is>
          <t>2026-12-21</t>
        </is>
      </c>
      <c r="B185" s="5" t="inlineStr">
        <is>
          <t>Mon</t>
        </is>
      </c>
      <c r="C185" s="5" t="n">
        <v>14</v>
      </c>
      <c r="D185" s="5" t="inlineStr">
        <is>
          <t>winterbase</t>
        </is>
      </c>
      <c r="E185" s="6" t="inlineStr">
        <is>
          <t>swim</t>
        </is>
      </c>
      <c r="F185" s="7" t="inlineStr">
        <is>
          <t>Swim — threshold 4 × 300</t>
        </is>
      </c>
      <c r="G185" s="5" t="inlineStr">
        <is>
          <t>2,300 yd · 51–68 min</t>
        </is>
      </c>
      <c r="H185" s="8" t="n">
        <v>2300</v>
      </c>
      <c r="I185" s="9" t="n"/>
      <c r="J185" s="10" t="n"/>
      <c r="K185" s="11" t="n"/>
      <c r="L185" s="12" t="n"/>
      <c r="M185" s="10" t="n"/>
      <c r="N185" s="10" t="n"/>
      <c r="O185" s="13" t="n"/>
      <c r="P185" s="7" t="inlineStr">
        <is>
          <t>Warm-up 400. Drill 400 as 8 × 50, each drill twice: stroke-count ladder / front scull / 6-1-6 / closed-fist. Fins throughout; snorkel off for 6-1-6. Main: 4 × 300 at CSS on 6:30 — tighter than Week 5's version of this set. Cool-down 300.</t>
        </is>
      </c>
    </row>
    <row r="186">
      <c r="A186" s="4" t="inlineStr">
        <is>
          <t>2026-12-21</t>
        </is>
      </c>
      <c r="B186" s="5" t="inlineStr">
        <is>
          <t>Mon</t>
        </is>
      </c>
      <c r="C186" s="5" t="n">
        <v>14</v>
      </c>
      <c r="D186" s="5" t="inlineStr">
        <is>
          <t>winterbase</t>
        </is>
      </c>
      <c r="E186" s="14" t="inlineStr">
        <is>
          <t>strength</t>
        </is>
      </c>
      <c r="F186" s="7" t="inlineStr">
        <is>
          <t>Full body A — hinge + pull</t>
        </is>
      </c>
      <c r="G186" s="5" t="inlineStr">
        <is>
          <t>40–45 min</t>
        </is>
      </c>
      <c r="H186" s="8" t="n"/>
      <c r="I186" s="9" t="n"/>
      <c r="J186" s="10" t="n"/>
      <c r="K186" s="11" t="n"/>
      <c r="L186" s="12" t="n"/>
      <c r="M186" s="10" t="n"/>
      <c r="N186" s="10" t="n"/>
      <c r="O186" s="13" t="n"/>
      <c r="P186" s="7" t="inlineStr">
        <is>
          <t>Full body A, last lift in the home gym this year.</t>
        </is>
      </c>
    </row>
    <row r="187">
      <c r="A187" s="4" t="inlineStr">
        <is>
          <t>2026-12-22</t>
        </is>
      </c>
      <c r="B187" s="5" t="inlineStr">
        <is>
          <t>Tue</t>
        </is>
      </c>
      <c r="C187" s="5" t="n">
        <v>14</v>
      </c>
      <c r="D187" s="5" t="inlineStr">
        <is>
          <t>winterbase</t>
        </is>
      </c>
      <c r="E187" s="15" t="inlineStr">
        <is>
          <t>run</t>
        </is>
      </c>
      <c r="F187" s="7" t="inlineStr">
        <is>
          <t>Easy run — 5 km</t>
        </is>
      </c>
      <c r="G187" s="5" t="inlineStr">
        <is>
          <t>35 min</t>
        </is>
      </c>
      <c r="H187" s="8" t="n"/>
      <c r="I187" s="9" t="n">
        <v>5</v>
      </c>
      <c r="J187" s="10" t="n"/>
      <c r="K187" s="11" t="n"/>
      <c r="L187" s="12" t="n"/>
      <c r="M187" s="10" t="n"/>
      <c r="N187" s="10" t="n"/>
      <c r="O187" s="13" t="n"/>
      <c r="P187" s="7" t="inlineStr">
        <is>
          <t>Last Seattle run of the year. Soft surface.</t>
        </is>
      </c>
    </row>
    <row r="188">
      <c r="A188" s="4" t="inlineStr">
        <is>
          <t>2026-12-22</t>
        </is>
      </c>
      <c r="B188" s="5" t="inlineStr">
        <is>
          <t>Tue</t>
        </is>
      </c>
      <c r="C188" s="5" t="n">
        <v>14</v>
      </c>
      <c r="D188" s="5" t="inlineStr">
        <is>
          <t>winterbase</t>
        </is>
      </c>
      <c r="E188" s="6" t="inlineStr">
        <is>
          <t>swim</t>
        </is>
      </c>
      <c r="F188" s="7" t="inlineStr">
        <is>
          <t>Swim — long aerobic 1,800</t>
        </is>
      </c>
      <c r="G188" s="5" t="inlineStr">
        <is>
          <t>2,800 yd · 62–82 min</t>
        </is>
      </c>
      <c r="H188" s="8" t="n">
        <v>2800</v>
      </c>
      <c r="I188" s="9" t="n"/>
      <c r="J188" s="10" t="n"/>
      <c r="K188" s="11" t="n"/>
      <c r="L188" s="12" t="n"/>
      <c r="M188" s="10" t="n"/>
      <c r="N188" s="10" t="n"/>
      <c r="O188" s="13" t="n"/>
      <c r="P188" s="7" t="inlineStr">
        <is>
          <t>Warm-up 300. Main: 1,800 continuous, then 4 × 100 at CSS. Cool-down 300. The week's long swim, pulled off Boxing Day to your home pool on your last Seattle day — you know this water, the lane etiquette and the clock, which is exactly what you want for the longest continuous swim of the week.</t>
        </is>
      </c>
    </row>
    <row r="189">
      <c r="A189" s="4" t="inlineStr">
        <is>
          <t>2026-12-23</t>
        </is>
      </c>
      <c r="B189" s="5" t="inlineStr">
        <is>
          <t>Wed</t>
        </is>
      </c>
      <c r="C189" s="5" t="n">
        <v>14</v>
      </c>
      <c r="D189" s="5" t="inlineStr">
        <is>
          <t>winterbase</t>
        </is>
      </c>
      <c r="E189" s="15" t="inlineStr">
        <is>
          <t>run</t>
        </is>
      </c>
      <c r="F189" s="7" t="inlineStr">
        <is>
          <t>Easy run — 4 km</t>
        </is>
      </c>
      <c r="G189" s="5" t="inlineStr">
        <is>
          <t>30 min</t>
        </is>
      </c>
      <c r="H189" s="8" t="n"/>
      <c r="I189" s="9" t="n">
        <v>4</v>
      </c>
      <c r="J189" s="10" t="n"/>
      <c r="K189" s="11" t="n"/>
      <c r="L189" s="12" t="n"/>
      <c r="M189" s="10" t="n"/>
      <c r="N189" s="10" t="n"/>
      <c r="O189" s="13" t="n"/>
      <c r="P189" s="7" t="inlineStr">
        <is>
          <t>Travel day to Edmonton. Indoor track or treadmill given the conditions. CHECK THE GYM'S HOLIDAY HOURS TODAY and shuffle this week's swims to fit them.</t>
        </is>
      </c>
    </row>
    <row r="190">
      <c r="A190" s="4" t="inlineStr">
        <is>
          <t>2026-12-23</t>
        </is>
      </c>
      <c r="B190" s="5" t="inlineStr">
        <is>
          <t>Wed</t>
        </is>
      </c>
      <c r="C190" s="5" t="n">
        <v>14</v>
      </c>
      <c r="D190" s="5" t="inlineStr">
        <is>
          <t>winterbase</t>
        </is>
      </c>
      <c r="E190" s="6" t="inlineStr">
        <is>
          <t>swim</t>
        </is>
      </c>
      <c r="F190" s="7" t="inlineStr">
        <is>
          <t>Technique swim (short)</t>
        </is>
      </c>
      <c r="G190" s="5" t="inlineStr">
        <is>
          <t>1,400 yd · 31–41 min</t>
        </is>
      </c>
      <c r="H190" s="8" t="n">
        <v>1400</v>
      </c>
      <c r="I190" s="9" t="n"/>
      <c r="J190" s="10" t="n"/>
      <c r="K190" s="11" t="n"/>
      <c r="L190" s="12" t="n"/>
      <c r="M190" s="10" t="n"/>
      <c r="N190" s="10" t="n"/>
      <c r="O190" s="13" t="n"/>
      <c r="P190" s="7" t="inlineStr">
        <is>
          <t>About 1,400 yd total, all easy. No clock, no main set. Snorkel and fins for the first half — catch-up, fingertip drag and front scull, rotating through them — then easy 50s holding the feel. This session exists to raise frequency and keep the stroke fresh — leave the pool fresher than you arrived. Deliberately the smallest swim of the week on the most disrupted day — fit it around the flight, and if Edmonton's pool hours do not cooperate, this is the one to drop.</t>
        </is>
      </c>
    </row>
    <row r="191">
      <c r="A191" s="4" t="inlineStr">
        <is>
          <t>2026-12-23</t>
        </is>
      </c>
      <c r="B191" s="5" t="inlineStr">
        <is>
          <t>Wed</t>
        </is>
      </c>
      <c r="C191" s="5" t="n">
        <v>14</v>
      </c>
      <c r="D191" s="5" t="inlineStr">
        <is>
          <t>winterbase</t>
        </is>
      </c>
      <c r="E191" s="5" t="inlineStr">
        <is>
          <t>mobility</t>
        </is>
      </c>
      <c r="F191" s="7" t="inlineStr">
        <is>
          <t>Mobility + lower-leg prehab</t>
        </is>
      </c>
      <c r="G191" s="5" t="inlineStr">
        <is>
          <t>15 min</t>
        </is>
      </c>
      <c r="H191" s="8" t="n"/>
      <c r="I191" s="9" t="n"/>
      <c r="J191" s="10" t="n"/>
      <c r="K191" s="11" t="n"/>
      <c r="L191" s="12" t="n"/>
      <c r="M191" s="10" t="n"/>
      <c r="N191" s="10" t="n"/>
      <c r="O191" s="13" t="n"/>
      <c r="P191" s="7" t="inlineStr">
        <is>
          <t>Travel mobility.</t>
        </is>
      </c>
    </row>
    <row r="192">
      <c r="A192" s="4" t="inlineStr">
        <is>
          <t>2026-12-24</t>
        </is>
      </c>
      <c r="B192" s="5" t="inlineStr">
        <is>
          <t>Thu</t>
        </is>
      </c>
      <c r="C192" s="5" t="n">
        <v>14</v>
      </c>
      <c r="D192" s="5" t="inlineStr">
        <is>
          <t>winterbase</t>
        </is>
      </c>
      <c r="E192" s="6" t="inlineStr">
        <is>
          <t>swim</t>
        </is>
      </c>
      <c r="F192" s="7" t="inlineStr">
        <is>
          <t>Swim — speed</t>
        </is>
      </c>
      <c r="G192" s="5" t="inlineStr">
        <is>
          <t>2,400 yd · 53–71 min</t>
        </is>
      </c>
      <c r="H192" s="8" t="n">
        <v>2400</v>
      </c>
      <c r="I192" s="9" t="n"/>
      <c r="J192" s="10" t="n"/>
      <c r="K192" s="11" t="n"/>
      <c r="L192" s="12" t="n"/>
      <c r="M192" s="10" t="n"/>
      <c r="N192" s="10" t="n"/>
      <c r="O192" s="13" t="n"/>
      <c r="P192" s="7" t="inlineStr">
        <is>
          <t>Warm-up 300. Drill 400 as 8 × 50, each drill twice: sighting / breaststroke timing / stroke-count ladder / front scull. Fins throughout; snorkel off for sighting and breaststroke timing. Main: 24 × 50 on 1:05 alternating. 4 × 50 breaststroke. Cool-down 300. Christmas Eve — likely reduced pool hours, so go early.</t>
        </is>
      </c>
    </row>
    <row r="193">
      <c r="A193" s="4" t="inlineStr">
        <is>
          <t>2026-12-24</t>
        </is>
      </c>
      <c r="B193" s="5" t="inlineStr">
        <is>
          <t>Thu</t>
        </is>
      </c>
      <c r="C193" s="5" t="n">
        <v>14</v>
      </c>
      <c r="D193" s="5" t="inlineStr">
        <is>
          <t>winterbase</t>
        </is>
      </c>
      <c r="E193" s="14" t="inlineStr">
        <is>
          <t>strength</t>
        </is>
      </c>
      <c r="F193" s="7" t="inlineStr">
        <is>
          <t>Full body B — single-leg + press</t>
        </is>
      </c>
      <c r="G193" s="5" t="inlineStr">
        <is>
          <t>40–45 min</t>
        </is>
      </c>
      <c r="H193" s="8" t="n"/>
      <c r="I193" s="9" t="n"/>
      <c r="J193" s="10" t="n"/>
      <c r="K193" s="11" t="n"/>
      <c r="L193" s="12" t="n"/>
      <c r="M193" s="10" t="n"/>
      <c r="N193" s="10" t="n"/>
      <c r="O193" s="13" t="n"/>
      <c r="P193" s="7" t="inlineStr">
        <is>
          <t>Full body B on Christmas Eve, which puts it three clear days before the long run — close the gym out early if you need to, but do not push it later into the week or it lands too close to that run.</t>
        </is>
      </c>
    </row>
    <row r="194">
      <c r="A194" s="4" t="inlineStr">
        <is>
          <t>2026-12-24</t>
        </is>
      </c>
      <c r="B194" s="5" t="inlineStr">
        <is>
          <t>Thu</t>
        </is>
      </c>
      <c r="C194" s="5" t="n">
        <v>14</v>
      </c>
      <c r="D194" s="5" t="inlineStr">
        <is>
          <t>winterbase</t>
        </is>
      </c>
      <c r="E194" s="5" t="inlineStr">
        <is>
          <t>mobility</t>
        </is>
      </c>
      <c r="F194" s="7" t="inlineStr">
        <is>
          <t>Mobility + lower-leg prehab</t>
        </is>
      </c>
      <c r="G194" s="5" t="inlineStr">
        <is>
          <t>15 min</t>
        </is>
      </c>
      <c r="H194" s="8" t="n"/>
      <c r="I194" s="9" t="n"/>
      <c r="J194" s="10" t="n"/>
      <c r="K194" s="11" t="n"/>
      <c r="L194" s="12" t="n"/>
      <c r="M194" s="10" t="n"/>
      <c r="N194" s="10" t="n"/>
      <c r="O194" s="13" t="n"/>
      <c r="P194" s="7" t="inlineStr">
        <is>
          <t>Ankle dorsiflexion (knee-to-wall), calf and soleus stretch, hip flexors, thoracic rotation, and 3 × 20 tibialis raises. Ten minutes of this beats an hour once a month.</t>
        </is>
      </c>
    </row>
    <row r="195">
      <c r="A195" s="4" t="inlineStr">
        <is>
          <t>2026-12-25</t>
        </is>
      </c>
      <c r="B195" s="5" t="inlineStr">
        <is>
          <t>Fri</t>
        </is>
      </c>
      <c r="C195" s="5" t="n">
        <v>14</v>
      </c>
      <c r="D195" s="5" t="inlineStr">
        <is>
          <t>winterbase</t>
        </is>
      </c>
      <c r="E195" s="5" t="inlineStr">
        <is>
          <t>mobility</t>
        </is>
      </c>
      <c r="F195" s="7" t="inlineStr">
        <is>
          <t>Rest day — walk and stretch</t>
        </is>
      </c>
      <c r="G195" s="5" t="inlineStr">
        <is>
          <t>20–30 min</t>
        </is>
      </c>
      <c r="H195" s="8" t="n"/>
      <c r="I195" s="9" t="n"/>
      <c r="J195" s="10" t="n"/>
      <c r="K195" s="11" t="n"/>
      <c r="L195" s="12" t="n"/>
      <c r="M195" s="10" t="n"/>
      <c r="N195" s="10" t="n"/>
      <c r="O195" s="13" t="n"/>
      <c r="P195" s="7" t="inlineStr">
        <is>
          <t>Christmas Day. Rest, stretch, walk if you feel like it. Nothing structured — this is the one fully off day in the block and taking it properly is part of the plan.</t>
        </is>
      </c>
    </row>
    <row r="196">
      <c r="A196" s="4" t="inlineStr">
        <is>
          <t>2026-12-26</t>
        </is>
      </c>
      <c r="B196" s="5" t="inlineStr">
        <is>
          <t>Sat</t>
        </is>
      </c>
      <c r="C196" s="5" t="n">
        <v>14</v>
      </c>
      <c r="D196" s="5" t="inlineStr">
        <is>
          <t>winterbase</t>
        </is>
      </c>
      <c r="E196" s="5" t="inlineStr">
        <is>
          <t>cardio</t>
        </is>
      </c>
      <c r="F196" s="7" t="inlineStr">
        <is>
          <t>Weekend flex — ride, hike or ski</t>
        </is>
      </c>
      <c r="G196" s="5" t="inlineStr">
        <is>
          <t>1.5–2.5 hr</t>
        </is>
      </c>
      <c r="H196" s="8" t="n"/>
      <c r="I196" s="9" t="n"/>
      <c r="J196" s="10" t="n"/>
      <c r="K196" s="11" t="n"/>
      <c r="L196" s="12" t="n"/>
      <c r="M196" s="10" t="n"/>
      <c r="N196" s="10" t="n"/>
      <c r="O196" s="13" t="n"/>
      <c r="P196" s="7" t="inlineStr">
        <is>
          <t>Boxing Day. A cross-country ski or a winter walk with your partner if there is snow and daylight, or a long indoor spin at 130–145 bpm if there is not — Edmonton in late December is not outdoor riding weather. Counts as the week's ride either way.</t>
        </is>
      </c>
    </row>
    <row r="197">
      <c r="A197" s="4" t="inlineStr">
        <is>
          <t>2026-12-27</t>
        </is>
      </c>
      <c r="B197" s="5" t="inlineStr">
        <is>
          <t>Sun</t>
        </is>
      </c>
      <c r="C197" s="5" t="n">
        <v>14</v>
      </c>
      <c r="D197" s="5" t="inlineStr">
        <is>
          <t>winterbase</t>
        </is>
      </c>
      <c r="E197" s="15" t="inlineStr">
        <is>
          <t>run</t>
        </is>
      </c>
      <c r="F197" s="7" t="inlineStr">
        <is>
          <t>Long run — 8 km</t>
        </is>
      </c>
      <c r="G197" s="5" t="inlineStr">
        <is>
          <t>50–55 min</t>
        </is>
      </c>
      <c r="H197" s="8" t="n"/>
      <c r="I197" s="9" t="n">
        <v>8</v>
      </c>
      <c r="J197" s="10" t="n"/>
      <c r="K197" s="11" t="n"/>
      <c r="L197" s="12" t="n"/>
      <c r="M197" s="10" t="n"/>
      <c r="N197" s="10" t="n"/>
      <c r="O197" s="13" t="n"/>
      <c r="P197" s="7" t="inlineStr">
        <is>
          <t>Indoor track if the footing is bad, outside if it is clear and you are dressed for it. Floats to Saturday if Sunday is the better day to be out.</t>
        </is>
      </c>
    </row>
    <row r="198">
      <c r="A198" s="4" t="inlineStr">
        <is>
          <t>2026-12-27</t>
        </is>
      </c>
      <c r="B198" s="5" t="inlineStr">
        <is>
          <t>Sun</t>
        </is>
      </c>
      <c r="C198" s="5" t="n">
        <v>14</v>
      </c>
      <c r="D198" s="5" t="inlineStr">
        <is>
          <t>winterbase</t>
        </is>
      </c>
      <c r="E198" s="5" t="inlineStr">
        <is>
          <t>mobility</t>
        </is>
      </c>
      <c r="F198" s="7" t="inlineStr">
        <is>
          <t>Mobility + lower-leg prehab</t>
        </is>
      </c>
      <c r="G198" s="5" t="inlineStr">
        <is>
          <t>20 min</t>
        </is>
      </c>
      <c r="H198" s="8" t="n"/>
      <c r="I198" s="9" t="n"/>
      <c r="J198" s="10" t="n"/>
      <c r="K198" s="11" t="n"/>
      <c r="L198" s="12" t="n"/>
      <c r="M198" s="10" t="n"/>
      <c r="N198" s="10" t="n"/>
      <c r="O198" s="13" t="n"/>
      <c r="P198" s="7" t="inlineStr">
        <is>
          <t>Mobility plus foot intrinsics.</t>
        </is>
      </c>
    </row>
    <row r="199">
      <c r="A199" s="4" t="inlineStr">
        <is>
          <t>2026-12-28</t>
        </is>
      </c>
      <c r="B199" s="5" t="inlineStr">
        <is>
          <t>Mon</t>
        </is>
      </c>
      <c r="C199" s="5" t="n">
        <v>15</v>
      </c>
      <c r="D199" s="5" t="inlineStr">
        <is>
          <t>winterbase</t>
        </is>
      </c>
      <c r="E199" s="6" t="inlineStr">
        <is>
          <t>swim</t>
        </is>
      </c>
      <c r="F199" s="7" t="inlineStr">
        <is>
          <t>Swim — FINAL CSS TEST (400 + 200 TT)</t>
        </is>
      </c>
      <c r="G199" s="5" t="inlineStr">
        <is>
          <t>1,600 yd · 36–47 min</t>
        </is>
      </c>
      <c r="H199" s="8" t="n">
        <v>1600</v>
      </c>
      <c r="I199" s="9" t="n"/>
      <c r="J199" s="10" t="n"/>
      <c r="K199" s="11" t="n"/>
      <c r="L199" s="12" t="n"/>
      <c r="M199" s="10" t="n"/>
      <c r="N199" s="10" t="n"/>
      <c r="O199" s="13" t="n"/>
      <c r="P199" s="7" t="inlineStr">
        <is>
          <t>Same protocol as Weeks 1 and 8. Warm-up 400, build 4 × 50, 400 all-out, 5 min rest, 200 all-out, cool-down 400. This is the block's headline number. Compare all three tests side by side — Week 1, Week 8, and today.</t>
        </is>
      </c>
    </row>
    <row r="200">
      <c r="A200" s="4" t="inlineStr">
        <is>
          <t>2026-12-28</t>
        </is>
      </c>
      <c r="B200" s="5" t="inlineStr">
        <is>
          <t>Mon</t>
        </is>
      </c>
      <c r="C200" s="5" t="n">
        <v>15</v>
      </c>
      <c r="D200" s="5" t="inlineStr">
        <is>
          <t>winterbase</t>
        </is>
      </c>
      <c r="E200" s="14" t="inlineStr">
        <is>
          <t>strength</t>
        </is>
      </c>
      <c r="F200" s="7" t="inlineStr">
        <is>
          <t>Full body A — hinge + pull</t>
        </is>
      </c>
      <c r="G200" s="5" t="inlineStr">
        <is>
          <t>40–45 min</t>
        </is>
      </c>
      <c r="H200" s="8" t="n"/>
      <c r="I200" s="9" t="n"/>
      <c r="J200" s="10" t="n"/>
      <c r="K200" s="11" t="n"/>
      <c r="L200" s="12" t="n"/>
      <c r="M200" s="10" t="n"/>
      <c r="N200" s="10" t="n"/>
      <c r="O200" s="13" t="n"/>
      <c r="P200" s="7" t="inlineStr">
        <is>
          <t>Last full-body session of the year. Log the RDL and split squat loads next to the Week 1 numbers.</t>
        </is>
      </c>
    </row>
    <row r="201">
      <c r="A201" s="4" t="inlineStr">
        <is>
          <t>2026-12-29</t>
        </is>
      </c>
      <c r="B201" s="5" t="inlineStr">
        <is>
          <t>Tue</t>
        </is>
      </c>
      <c r="C201" s="5" t="n">
        <v>15</v>
      </c>
      <c r="D201" s="5" t="inlineStr">
        <is>
          <t>winterbase</t>
        </is>
      </c>
      <c r="E201" s="15" t="inlineStr">
        <is>
          <t>run</t>
        </is>
      </c>
      <c r="F201" s="7" t="inlineStr">
        <is>
          <t>Easy run — 5 km</t>
        </is>
      </c>
      <c r="G201" s="5" t="inlineStr">
        <is>
          <t>35–40 min</t>
        </is>
      </c>
      <c r="H201" s="8" t="n"/>
      <c r="I201" s="9" t="n">
        <v>5</v>
      </c>
      <c r="J201" s="10" t="n"/>
      <c r="K201" s="11" t="n"/>
      <c r="L201" s="12" t="n"/>
      <c r="M201" s="10" t="n"/>
      <c r="N201" s="10" t="n"/>
      <c r="O201" s="13" t="n"/>
      <c r="P201" s="7" t="inlineStr">
        <is>
          <t>Easy. Indoor track if needed.</t>
        </is>
      </c>
    </row>
    <row r="202">
      <c r="A202" s="4" t="inlineStr">
        <is>
          <t>2026-12-29</t>
        </is>
      </c>
      <c r="B202" s="5" t="inlineStr">
        <is>
          <t>Tue</t>
        </is>
      </c>
      <c r="C202" s="5" t="n">
        <v>15</v>
      </c>
      <c r="D202" s="5" t="inlineStr">
        <is>
          <t>winterbase</t>
        </is>
      </c>
      <c r="E202" s="6" t="inlineStr">
        <is>
          <t>swim</t>
        </is>
      </c>
      <c r="F202" s="7" t="inlineStr">
        <is>
          <t>Technique swim (short)</t>
        </is>
      </c>
      <c r="G202" s="5" t="inlineStr">
        <is>
          <t>1,400 yd · 31–41 min</t>
        </is>
      </c>
      <c r="H202" s="8" t="n">
        <v>1400</v>
      </c>
      <c r="I202" s="9" t="n"/>
      <c r="J202" s="10" t="n"/>
      <c r="K202" s="11" t="n"/>
      <c r="L202" s="12" t="n"/>
      <c r="M202" s="10" t="n"/>
      <c r="N202" s="10" t="n"/>
      <c r="O202" s="13" t="n"/>
      <c r="P202" s="7" t="inlineStr">
        <is>
          <t>About 1,400 yd total, all easy. No clock, no main set. Snorkel and fins for the first half — catch-up, fingertip drag and front scull, rotating through them — then easy 50s holding the feel. This session exists to raise frequency and keep the stroke fresh — leave the pool fresher than you arrived.</t>
        </is>
      </c>
    </row>
    <row r="203">
      <c r="A203" s="4" t="inlineStr">
        <is>
          <t>2026-12-29</t>
        </is>
      </c>
      <c r="B203" s="5" t="inlineStr">
        <is>
          <t>Tue</t>
        </is>
      </c>
      <c r="C203" s="5" t="n">
        <v>15</v>
      </c>
      <c r="D203" s="5" t="inlineStr">
        <is>
          <t>winterbase</t>
        </is>
      </c>
      <c r="E203" s="5" t="inlineStr">
        <is>
          <t>mobility</t>
        </is>
      </c>
      <c r="F203" s="7" t="inlineStr">
        <is>
          <t>Mobility + lower-leg prehab</t>
        </is>
      </c>
      <c r="G203" s="5" t="inlineStr">
        <is>
          <t>15 min</t>
        </is>
      </c>
      <c r="H203" s="8" t="n"/>
      <c r="I203" s="9" t="n"/>
      <c r="J203" s="10" t="n"/>
      <c r="K203" s="11" t="n"/>
      <c r="L203" s="12" t="n"/>
      <c r="M203" s="10" t="n"/>
      <c r="N203" s="10" t="n"/>
      <c r="O203" s="13" t="n"/>
      <c r="P203" s="7" t="inlineStr">
        <is>
          <t>Ankle dorsiflexion (knee-to-wall), calf and soleus stretch, hip flexors, thoracic rotation, and 3 × 20 tibialis raises. Ten minutes of this beats an hour once a month.</t>
        </is>
      </c>
    </row>
    <row r="204">
      <c r="A204" s="4" t="inlineStr">
        <is>
          <t>2026-12-30</t>
        </is>
      </c>
      <c r="B204" s="5" t="inlineStr">
        <is>
          <t>Wed</t>
        </is>
      </c>
      <c r="C204" s="5" t="n">
        <v>15</v>
      </c>
      <c r="D204" s="5" t="inlineStr">
        <is>
          <t>winterbase</t>
        </is>
      </c>
      <c r="E204" s="6" t="inlineStr">
        <is>
          <t>swim</t>
        </is>
      </c>
      <c r="F204" s="7" t="inlineStr">
        <is>
          <t>Swim — speed</t>
        </is>
      </c>
      <c r="G204" s="5" t="inlineStr">
        <is>
          <t>2,000 yd · 44–59 min</t>
        </is>
      </c>
      <c r="H204" s="8" t="n">
        <v>2000</v>
      </c>
      <c r="I204" s="9" t="n"/>
      <c r="J204" s="10" t="n"/>
      <c r="K204" s="11" t="n"/>
      <c r="L204" s="12" t="n"/>
      <c r="M204" s="10" t="n"/>
      <c r="N204" s="10" t="n"/>
      <c r="O204" s="13" t="n"/>
      <c r="P204" s="7" t="inlineStr">
        <is>
          <t>Warm-up 300. Drill 400 as 8 × 50, each drill twice: 6-1-6 / closed-fist / sighting / breaststroke timing. Fins throughout; snorkel off for 6-1-6, sighting and breaststroke timing. Main: 20 × 50 on 1:05 alternating. Then 200 breaststroke continuous. Cool-down 300.</t>
        </is>
      </c>
    </row>
    <row r="205">
      <c r="A205" s="4" t="inlineStr">
        <is>
          <t>2026-12-30</t>
        </is>
      </c>
      <c r="B205" s="5" t="inlineStr">
        <is>
          <t>Wed</t>
        </is>
      </c>
      <c r="C205" s="5" t="n">
        <v>15</v>
      </c>
      <c r="D205" s="5" t="inlineStr">
        <is>
          <t>winterbase</t>
        </is>
      </c>
      <c r="E205" s="16" t="inlineStr">
        <is>
          <t>bike</t>
        </is>
      </c>
      <c r="F205" s="7" t="inlineStr">
        <is>
          <t>Spin bike — easy aerobic (optional)</t>
        </is>
      </c>
      <c r="G205" s="5" t="inlineStr">
        <is>
          <t>40 min</t>
        </is>
      </c>
      <c r="H205" s="8" t="n"/>
      <c r="I205" s="9" t="n"/>
      <c r="J205" s="10" t="n"/>
      <c r="K205" s="11" t="n"/>
      <c r="L205" s="12" t="n"/>
      <c r="M205" s="10" t="n"/>
      <c r="N205" s="10" t="n"/>
      <c r="O205" s="13" t="n"/>
      <c r="P205" s="7" t="inlineStr">
        <is>
          <t>Optional. Skip it without guilt if the legs feel the long run coming tomorrow.</t>
        </is>
      </c>
    </row>
    <row r="206">
      <c r="A206" s="4" t="inlineStr">
        <is>
          <t>2026-12-30</t>
        </is>
      </c>
      <c r="B206" s="5" t="inlineStr">
        <is>
          <t>Wed</t>
        </is>
      </c>
      <c r="C206" s="5" t="n">
        <v>15</v>
      </c>
      <c r="D206" s="5" t="inlineStr">
        <is>
          <t>winterbase</t>
        </is>
      </c>
      <c r="E206" s="5" t="inlineStr">
        <is>
          <t>mobility</t>
        </is>
      </c>
      <c r="F206" s="7" t="inlineStr">
        <is>
          <t>Mobility + lower-leg prehab</t>
        </is>
      </c>
      <c r="G206" s="5" t="inlineStr">
        <is>
          <t>15 min</t>
        </is>
      </c>
      <c r="H206" s="8" t="n"/>
      <c r="I206" s="9" t="n"/>
      <c r="J206" s="10" t="n"/>
      <c r="K206" s="11" t="n"/>
      <c r="L206" s="12" t="n"/>
      <c r="M206" s="10" t="n"/>
      <c r="N206" s="10" t="n"/>
      <c r="O206" s="13" t="n"/>
      <c r="P206" s="7" t="inlineStr">
        <is>
          <t>Ankle dorsiflexion (knee-to-wall), calf and soleus stretch, hip flexors, thoracic rotation, and 3 × 20 tibialis raises. Ten minutes of this beats an hour once a month.</t>
        </is>
      </c>
    </row>
    <row r="207">
      <c r="A207" s="4" t="inlineStr">
        <is>
          <t>2026-12-31</t>
        </is>
      </c>
      <c r="B207" s="5" t="inlineStr">
        <is>
          <t>Thu</t>
        </is>
      </c>
      <c r="C207" s="5" t="n">
        <v>15</v>
      </c>
      <c r="D207" s="5" t="inlineStr">
        <is>
          <t>winterbase</t>
        </is>
      </c>
      <c r="E207" s="15" t="inlineStr">
        <is>
          <t>run</t>
        </is>
      </c>
      <c r="F207" s="7" t="inlineStr">
        <is>
          <t>Long run — 8 km</t>
        </is>
      </c>
      <c r="G207" s="5" t="inlineStr">
        <is>
          <t>55–62 min</t>
        </is>
      </c>
      <c r="H207" s="8" t="n"/>
      <c r="I207" s="9" t="n">
        <v>8</v>
      </c>
      <c r="J207" s="10" t="n"/>
      <c r="K207" s="11" t="n"/>
      <c r="L207" s="12" t="n"/>
      <c r="M207" s="10" t="n"/>
      <c r="N207" s="10" t="n"/>
      <c r="O207" s="13" t="n"/>
      <c r="P207" s="7" t="inlineStr">
        <is>
          <t>Last run of the block, and the last run of the year. Easy effort, soft surface, orthotics in. Fifteen weeks ago 5 km was your entire week.</t>
        </is>
      </c>
    </row>
    <row r="208">
      <c r="A208" s="4" t="inlineStr">
        <is>
          <t>2026-12-31</t>
        </is>
      </c>
      <c r="B208" s="5" t="inlineStr">
        <is>
          <t>Thu</t>
        </is>
      </c>
      <c r="C208" s="5" t="n">
        <v>15</v>
      </c>
      <c r="D208" s="5" t="inlineStr">
        <is>
          <t>winterbase</t>
        </is>
      </c>
      <c r="E208" s="6" t="inlineStr">
        <is>
          <t>swim</t>
        </is>
      </c>
      <c r="F208" s="7" t="inlineStr">
        <is>
          <t>Swim — long aerobic 2,000</t>
        </is>
      </c>
      <c r="G208" s="5" t="inlineStr">
        <is>
          <t>2,600 yd · 58–76 min</t>
        </is>
      </c>
      <c r="H208" s="8" t="n">
        <v>2600</v>
      </c>
      <c r="I208" s="9" t="n"/>
      <c r="J208" s="10" t="n"/>
      <c r="K208" s="11" t="n"/>
      <c r="L208" s="12" t="n"/>
      <c r="M208" s="10" t="n"/>
      <c r="N208" s="10" t="n"/>
      <c r="O208" s="13" t="n"/>
      <c r="P208" s="7" t="inlineStr">
        <is>
          <t>Warm-up 300. Main: 2,000 continuous at the new aerobic pace. Cool-down 300. Fifteen weeks ago a 1,000 was the long swim. Finish the year with double it.</t>
        </is>
      </c>
    </row>
    <row r="209">
      <c r="A209" s="4" t="inlineStr">
        <is>
          <t>2026-12-31</t>
        </is>
      </c>
      <c r="B209" s="5" t="inlineStr">
        <is>
          <t>Thu</t>
        </is>
      </c>
      <c r="C209" s="5" t="n">
        <v>15</v>
      </c>
      <c r="D209" s="5" t="inlineStr">
        <is>
          <t>winterbase</t>
        </is>
      </c>
      <c r="E209" s="5" t="inlineStr">
        <is>
          <t>mobility</t>
        </is>
      </c>
      <c r="F209" s="7" t="inlineStr">
        <is>
          <t>Mobility + lower-leg prehab</t>
        </is>
      </c>
      <c r="G209" s="5" t="inlineStr">
        <is>
          <t>25 min</t>
        </is>
      </c>
      <c r="H209" s="8" t="n"/>
      <c r="I209" s="9" t="n"/>
      <c r="J209" s="10" t="n"/>
      <c r="K209" s="11" t="n"/>
      <c r="L209" s="12" t="n"/>
      <c r="M209" s="10" t="n"/>
      <c r="N209" s="10" t="n"/>
      <c r="O209" s="13" t="n"/>
      <c r="P209" s="7" t="inlineStr">
        <is>
          <t>Final mobility session of the block. Then sit down and plan the January Victoria 70.3 build — including whether Rainier and Victoria can actually coexist.</t>
        </is>
      </c>
    </row>
  </sheetData>
  <autoFilter ref="A4:P209"/>
  <mergeCells count="2">
    <mergeCell ref="A1:P1"/>
    <mergeCell ref="A2:P2"/>
  </mergeCells>
  <conditionalFormatting sqref="A5:P209">
    <cfRule type="expression" priority="1" dxfId="0">
      <formula>$J5="Y"</formula>
    </cfRule>
  </conditionalFormatting>
  <dataValidations count="2">
    <dataValidation sqref="J5:J209" showDropDown="0" showInputMessage="0" showErrorMessage="0" allowBlank="1" type="list">
      <formula1>"Y,N,skipped,moved"</formula1>
    </dataValidation>
    <dataValidation sqref="N5:N209" showDropDown="0" showInputMessage="0" showErrorMessage="0" allowBlank="1" type="whole" operator="between">
      <formula1>1</formula1>
      <formula2>10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26" customWidth="1" min="3" max="3"/>
    <col width="13" customWidth="1" min="4" max="4"/>
    <col width="12" customWidth="1" min="5" max="5"/>
    <col width="9" customWidth="1" min="6" max="6"/>
    <col width="11" customWidth="1" min="7" max="7"/>
    <col width="13" customWidth="1" min="8" max="8"/>
    <col width="12" customWidth="1" min="9" max="9"/>
    <col width="9" customWidth="1" min="10" max="10"/>
    <col width="10" customWidth="1" min="11" max="11"/>
    <col width="8" customWidth="1" min="12" max="12"/>
    <col width="9" customWidth="1" min="13" max="13"/>
  </cols>
  <sheetData>
    <row r="1">
      <c r="A1" s="1" t="inlineStr">
        <is>
          <t>Weekly rollup</t>
        </is>
      </c>
    </row>
    <row r="2">
      <c r="A2" s="2" t="inlineStr">
        <is>
          <t>Every number here is a live formula over the Log sheet. Nothing to type.</t>
        </is>
      </c>
    </row>
    <row r="4" ht="30" customHeight="1">
      <c r="A4" s="3" t="inlineStr">
        <is>
          <t>Wk</t>
        </is>
      </c>
      <c r="B4" s="3" t="inlineStr">
        <is>
          <t>Starts</t>
        </is>
      </c>
      <c r="C4" s="3" t="inlineStr">
        <is>
          <t>Theme</t>
        </is>
      </c>
      <c r="D4" s="3" t="inlineStr">
        <is>
          <t>Swim plan (yd)</t>
        </is>
      </c>
      <c r="E4" s="3" t="inlineStr">
        <is>
          <t>Swim actual</t>
        </is>
      </c>
      <c r="F4" s="3" t="inlineStr">
        <is>
          <t>Swim Δ</t>
        </is>
      </c>
      <c r="G4" s="3" t="inlineStr">
        <is>
          <t>6,000 floor</t>
        </is>
      </c>
      <c r="H4" s="3" t="inlineStr">
        <is>
          <t>Run plan (km)</t>
        </is>
      </c>
      <c r="I4" s="3" t="inlineStr">
        <is>
          <t>Run actual</t>
        </is>
      </c>
      <c r="J4" s="3" t="inlineStr">
        <is>
          <t>Run Δ</t>
        </is>
      </c>
      <c r="K4" s="3" t="inlineStr">
        <is>
          <t>Sessions</t>
        </is>
      </c>
      <c r="L4" s="3" t="inlineStr">
        <is>
          <t>Done</t>
        </is>
      </c>
      <c r="M4" s="3" t="inlineStr">
        <is>
          <t>% done</t>
        </is>
      </c>
    </row>
    <row r="5">
      <c r="A5" s="5" t="n">
        <v>1</v>
      </c>
      <c r="B5" s="5" t="inlineStr">
        <is>
          <t>2026-09-21</t>
        </is>
      </c>
      <c r="C5" s="7" t="inlineStr">
        <is>
          <t>Measure everything</t>
        </is>
      </c>
      <c r="D5" s="17">
        <f>SUMIFS(Log!$H$5:$H$400,Log!$C$5:$C$400,$A5)</f>
        <v/>
      </c>
      <c r="E5" s="17">
        <f>SUMIFS(Log!$K$5:$K$400,Log!$C$5:$C$400,$A5)</f>
        <v/>
      </c>
      <c r="F5" s="18">
        <f>IF(E5=0,"",E5-D5)</f>
        <v/>
      </c>
      <c r="G5" s="5">
        <f>IF(E5=0,"–",IF(E5&gt;=6000,"OK","UNDER"))</f>
        <v/>
      </c>
      <c r="H5" s="19">
        <f>SUMIFS(Log!$I$5:$I$400,Log!$C$5:$C$400,$A5)</f>
        <v/>
      </c>
      <c r="I5" s="19">
        <f>SUMIFS(Log!$L$5:$L$400,Log!$C$5:$C$400,$A5)</f>
        <v/>
      </c>
      <c r="J5" s="20">
        <f>IF(I5=0,"",I5-H5)</f>
        <v/>
      </c>
      <c r="K5" s="21">
        <f>COUNTIFS(Log!$C$5:$C$400,$A5)</f>
        <v/>
      </c>
      <c r="L5" s="21">
        <f>COUNTIFS(Log!$C$5:$C$400,$A5,Log!$J$5:$J$400,"Y")</f>
        <v/>
      </c>
      <c r="M5" s="22">
        <f>IFERROR(L5/K5,0)</f>
        <v/>
      </c>
    </row>
    <row r="6">
      <c r="A6" s="5" t="n">
        <v>2</v>
      </c>
      <c r="B6" s="5" t="inlineStr">
        <is>
          <t>2026-09-28</t>
        </is>
      </c>
      <c r="C6" s="7" t="inlineStr">
        <is>
          <t>Learn the send-off</t>
        </is>
      </c>
      <c r="D6" s="17">
        <f>SUMIFS(Log!$H$5:$H$400,Log!$C$5:$C$400,$A6)</f>
        <v/>
      </c>
      <c r="E6" s="17">
        <f>SUMIFS(Log!$K$5:$K$400,Log!$C$5:$C$400,$A6)</f>
        <v/>
      </c>
      <c r="F6" s="18">
        <f>IF(E6=0,"",E6-D6)</f>
        <v/>
      </c>
      <c r="G6" s="5">
        <f>IF(E6=0,"–",IF(E6&gt;=6000,"OK","UNDER"))</f>
        <v/>
      </c>
      <c r="H6" s="19">
        <f>SUMIFS(Log!$I$5:$I$400,Log!$C$5:$C$400,$A6)</f>
        <v/>
      </c>
      <c r="I6" s="19">
        <f>SUMIFS(Log!$L$5:$L$400,Log!$C$5:$C$400,$A6)</f>
        <v/>
      </c>
      <c r="J6" s="20">
        <f>IF(I6=0,"",I6-H6)</f>
        <v/>
      </c>
      <c r="K6" s="21">
        <f>COUNTIFS(Log!$C$5:$C$400,$A6)</f>
        <v/>
      </c>
      <c r="L6" s="21">
        <f>COUNTIFS(Log!$C$5:$C$400,$A6,Log!$J$5:$J$400,"Y")</f>
        <v/>
      </c>
      <c r="M6" s="22">
        <f>IFERROR(L6/K6,0)</f>
        <v/>
      </c>
    </row>
    <row r="7">
      <c r="A7" s="5" t="n">
        <v>3</v>
      </c>
      <c r="B7" s="5" t="inlineStr">
        <is>
          <t>2026-10-05</t>
        </is>
      </c>
      <c r="C7" s="7" t="inlineStr">
        <is>
          <t>Second run — if the orthotics are in</t>
        </is>
      </c>
      <c r="D7" s="17">
        <f>SUMIFS(Log!$H$5:$H$400,Log!$C$5:$C$400,$A7)</f>
        <v/>
      </c>
      <c r="E7" s="17">
        <f>SUMIFS(Log!$K$5:$K$400,Log!$C$5:$C$400,$A7)</f>
        <v/>
      </c>
      <c r="F7" s="18">
        <f>IF(E7=0,"",E7-D7)</f>
        <v/>
      </c>
      <c r="G7" s="5">
        <f>IF(E7=0,"–",IF(E7&gt;=6000,"OK","UNDER"))</f>
        <v/>
      </c>
      <c r="H7" s="19">
        <f>SUMIFS(Log!$I$5:$I$400,Log!$C$5:$C$400,$A7)</f>
        <v/>
      </c>
      <c r="I7" s="19">
        <f>SUMIFS(Log!$L$5:$L$400,Log!$C$5:$C$400,$A7)</f>
        <v/>
      </c>
      <c r="J7" s="20">
        <f>IF(I7=0,"",I7-H7)</f>
        <v/>
      </c>
      <c r="K7" s="21">
        <f>COUNTIFS(Log!$C$5:$C$400,$A7)</f>
        <v/>
      </c>
      <c r="L7" s="21">
        <f>COUNTIFS(Log!$C$5:$C$400,$A7,Log!$J$5:$J$400,"Y")</f>
        <v/>
      </c>
      <c r="M7" s="22">
        <f>IFERROR(L7/K7,0)</f>
        <v/>
      </c>
    </row>
    <row r="8">
      <c r="A8" s="5" t="n">
        <v>4</v>
      </c>
      <c r="B8" s="5" t="inlineStr">
        <is>
          <t>2026-10-12</t>
        </is>
      </c>
      <c r="C8" s="7" t="inlineStr">
        <is>
          <t>Build I opens</t>
        </is>
      </c>
      <c r="D8" s="17">
        <f>SUMIFS(Log!$H$5:$H$400,Log!$C$5:$C$400,$A8)</f>
        <v/>
      </c>
      <c r="E8" s="17">
        <f>SUMIFS(Log!$K$5:$K$400,Log!$C$5:$C$400,$A8)</f>
        <v/>
      </c>
      <c r="F8" s="18">
        <f>IF(E8=0,"",E8-D8)</f>
        <v/>
      </c>
      <c r="G8" s="5">
        <f>IF(E8=0,"–",IF(E8&gt;=6000,"OK","UNDER"))</f>
        <v/>
      </c>
      <c r="H8" s="19">
        <f>SUMIFS(Log!$I$5:$I$400,Log!$C$5:$C$400,$A8)</f>
        <v/>
      </c>
      <c r="I8" s="19">
        <f>SUMIFS(Log!$L$5:$L$400,Log!$C$5:$C$400,$A8)</f>
        <v/>
      </c>
      <c r="J8" s="20">
        <f>IF(I8=0,"",I8-H8)</f>
        <v/>
      </c>
      <c r="K8" s="21">
        <f>COUNTIFS(Log!$C$5:$C$400,$A8)</f>
        <v/>
      </c>
      <c r="L8" s="21">
        <f>COUNTIFS(Log!$C$5:$C$400,$A8,Log!$J$5:$J$400,"Y")</f>
        <v/>
      </c>
      <c r="M8" s="22">
        <f>IFERROR(L8/K8,0)</f>
        <v/>
      </c>
    </row>
    <row r="9">
      <c r="A9" s="5" t="n">
        <v>5</v>
      </c>
      <c r="B9" s="5" t="inlineStr">
        <is>
          <t>2026-10-19</t>
        </is>
      </c>
      <c r="C9" s="7" t="inlineStr">
        <is>
          <t>Third run, paddles in</t>
        </is>
      </c>
      <c r="D9" s="17">
        <f>SUMIFS(Log!$H$5:$H$400,Log!$C$5:$C$400,$A9)</f>
        <v/>
      </c>
      <c r="E9" s="17">
        <f>SUMIFS(Log!$K$5:$K$400,Log!$C$5:$C$400,$A9)</f>
        <v/>
      </c>
      <c r="F9" s="18">
        <f>IF(E9=0,"",E9-D9)</f>
        <v/>
      </c>
      <c r="G9" s="5">
        <f>IF(E9=0,"–",IF(E9&gt;=6000,"OK","UNDER"))</f>
        <v/>
      </c>
      <c r="H9" s="19">
        <f>SUMIFS(Log!$I$5:$I$400,Log!$C$5:$C$400,$A9)</f>
        <v/>
      </c>
      <c r="I9" s="19">
        <f>SUMIFS(Log!$L$5:$L$400,Log!$C$5:$C$400,$A9)</f>
        <v/>
      </c>
      <c r="J9" s="20">
        <f>IF(I9=0,"",I9-H9)</f>
        <v/>
      </c>
      <c r="K9" s="21">
        <f>COUNTIFS(Log!$C$5:$C$400,$A9)</f>
        <v/>
      </c>
      <c r="L9" s="21">
        <f>COUNTIFS(Log!$C$5:$C$400,$A9,Log!$J$5:$J$400,"Y")</f>
        <v/>
      </c>
      <c r="M9" s="22">
        <f>IFERROR(L9/K9,0)</f>
        <v/>
      </c>
    </row>
    <row r="10">
      <c r="A10" s="5" t="n">
        <v>6</v>
      </c>
      <c r="B10" s="5" t="inlineStr">
        <is>
          <t>2026-10-26</t>
        </is>
      </c>
      <c r="C10" s="7" t="inlineStr">
        <is>
          <t>New York — city week</t>
        </is>
      </c>
      <c r="D10" s="17">
        <f>SUMIFS(Log!$H$5:$H$400,Log!$C$5:$C$400,$A10)</f>
        <v/>
      </c>
      <c r="E10" s="17">
        <f>SUMIFS(Log!$K$5:$K$400,Log!$C$5:$C$400,$A10)</f>
        <v/>
      </c>
      <c r="F10" s="18">
        <f>IF(E10=0,"",E10-D10)</f>
        <v/>
      </c>
      <c r="G10" s="5">
        <f>IF(E10=0,"–",IF(E10&gt;=6000,"OK","UNDER"))</f>
        <v/>
      </c>
      <c r="H10" s="19">
        <f>SUMIFS(Log!$I$5:$I$400,Log!$C$5:$C$400,$A10)</f>
        <v/>
      </c>
      <c r="I10" s="19">
        <f>SUMIFS(Log!$L$5:$L$400,Log!$C$5:$C$400,$A10)</f>
        <v/>
      </c>
      <c r="J10" s="20">
        <f>IF(I10=0,"",I10-H10)</f>
        <v/>
      </c>
      <c r="K10" s="21">
        <f>COUNTIFS(Log!$C$5:$C$400,$A10)</f>
        <v/>
      </c>
      <c r="L10" s="21">
        <f>COUNTIFS(Log!$C$5:$C$400,$A10,Log!$J$5:$J$400,"Y")</f>
        <v/>
      </c>
      <c r="M10" s="22">
        <f>IFERROR(L10/K10,0)</f>
        <v/>
      </c>
    </row>
    <row r="11">
      <c r="A11" s="5" t="n">
        <v>7</v>
      </c>
      <c r="B11" s="5" t="inlineStr">
        <is>
          <t>2026-11-02</t>
        </is>
      </c>
      <c r="C11" s="7" t="inlineStr">
        <is>
          <t>Back-loaded return</t>
        </is>
      </c>
      <c r="D11" s="17">
        <f>SUMIFS(Log!$H$5:$H$400,Log!$C$5:$C$400,$A11)</f>
        <v/>
      </c>
      <c r="E11" s="17">
        <f>SUMIFS(Log!$K$5:$K$400,Log!$C$5:$C$400,$A11)</f>
        <v/>
      </c>
      <c r="F11" s="18">
        <f>IF(E11=0,"",E11-D11)</f>
        <v/>
      </c>
      <c r="G11" s="5">
        <f>IF(E11=0,"–",IF(E11&gt;=6000,"OK","UNDER"))</f>
        <v/>
      </c>
      <c r="H11" s="19">
        <f>SUMIFS(Log!$I$5:$I$400,Log!$C$5:$C$400,$A11)</f>
        <v/>
      </c>
      <c r="I11" s="19">
        <f>SUMIFS(Log!$L$5:$L$400,Log!$C$5:$C$400,$A11)</f>
        <v/>
      </c>
      <c r="J11" s="20">
        <f>IF(I11=0,"",I11-H11)</f>
        <v/>
      </c>
      <c r="K11" s="21">
        <f>COUNTIFS(Log!$C$5:$C$400,$A11)</f>
        <v/>
      </c>
      <c r="L11" s="21">
        <f>COUNTIFS(Log!$C$5:$C$400,$A11,Log!$J$5:$J$400,"Y")</f>
        <v/>
      </c>
      <c r="M11" s="22">
        <f>IFERROR(L11/K11,0)</f>
        <v/>
      </c>
    </row>
    <row r="12">
      <c r="A12" s="5" t="n">
        <v>8</v>
      </c>
      <c r="B12" s="5" t="inlineStr">
        <is>
          <t>2026-11-09</t>
        </is>
      </c>
      <c r="C12" s="7" t="inlineStr">
        <is>
          <t>Retest + race distance</t>
        </is>
      </c>
      <c r="D12" s="17">
        <f>SUMIFS(Log!$H$5:$H$400,Log!$C$5:$C$400,$A12)</f>
        <v/>
      </c>
      <c r="E12" s="17">
        <f>SUMIFS(Log!$K$5:$K$400,Log!$C$5:$C$400,$A12)</f>
        <v/>
      </c>
      <c r="F12" s="18">
        <f>IF(E12=0,"",E12-D12)</f>
        <v/>
      </c>
      <c r="G12" s="5">
        <f>IF(E12=0,"–",IF(E12&gt;=6000,"OK","UNDER"))</f>
        <v/>
      </c>
      <c r="H12" s="19">
        <f>SUMIFS(Log!$I$5:$I$400,Log!$C$5:$C$400,$A12)</f>
        <v/>
      </c>
      <c r="I12" s="19">
        <f>SUMIFS(Log!$L$5:$L$400,Log!$C$5:$C$400,$A12)</f>
        <v/>
      </c>
      <c r="J12" s="20">
        <f>IF(I12=0,"",I12-H12)</f>
        <v/>
      </c>
      <c r="K12" s="21">
        <f>COUNTIFS(Log!$C$5:$C$400,$A12)</f>
        <v/>
      </c>
      <c r="L12" s="21">
        <f>COUNTIFS(Log!$C$5:$C$400,$A12,Log!$J$5:$J$400,"Y")</f>
        <v/>
      </c>
      <c r="M12" s="22">
        <f>IFERROR(L12/K12,0)</f>
        <v/>
      </c>
    </row>
    <row r="13">
      <c r="A13" s="5" t="n">
        <v>9</v>
      </c>
      <c r="B13" s="5" t="inlineStr">
        <is>
          <t>2026-11-16</t>
        </is>
      </c>
      <c r="C13" s="7" t="inlineStr">
        <is>
          <t>Peak week</t>
        </is>
      </c>
      <c r="D13" s="17">
        <f>SUMIFS(Log!$H$5:$H$400,Log!$C$5:$C$400,$A13)</f>
        <v/>
      </c>
      <c r="E13" s="17">
        <f>SUMIFS(Log!$K$5:$K$400,Log!$C$5:$C$400,$A13)</f>
        <v/>
      </c>
      <c r="F13" s="18">
        <f>IF(E13=0,"",E13-D13)</f>
        <v/>
      </c>
      <c r="G13" s="5">
        <f>IF(E13=0,"–",IF(E13&gt;=6000,"OK","UNDER"))</f>
        <v/>
      </c>
      <c r="H13" s="19">
        <f>SUMIFS(Log!$I$5:$I$400,Log!$C$5:$C$400,$A13)</f>
        <v/>
      </c>
      <c r="I13" s="19">
        <f>SUMIFS(Log!$L$5:$L$400,Log!$C$5:$C$400,$A13)</f>
        <v/>
      </c>
      <c r="J13" s="20">
        <f>IF(I13=0,"",I13-H13)</f>
        <v/>
      </c>
      <c r="K13" s="21">
        <f>COUNTIFS(Log!$C$5:$C$400,$A13)</f>
        <v/>
      </c>
      <c r="L13" s="21">
        <f>COUNTIFS(Log!$C$5:$C$400,$A13,Log!$J$5:$J$400,"Y")</f>
        <v/>
      </c>
      <c r="M13" s="22">
        <f>IFERROR(L13/K13,0)</f>
        <v/>
      </c>
    </row>
    <row r="14">
      <c r="A14" s="5" t="n">
        <v>10</v>
      </c>
      <c r="B14" s="5" t="inlineStr">
        <is>
          <t>2026-11-23</t>
        </is>
      </c>
      <c r="C14" s="7" t="inlineStr">
        <is>
          <t>Edmonton — absorb</t>
        </is>
      </c>
      <c r="D14" s="17">
        <f>SUMIFS(Log!$H$5:$H$400,Log!$C$5:$C$400,$A14)</f>
        <v/>
      </c>
      <c r="E14" s="17">
        <f>SUMIFS(Log!$K$5:$K$400,Log!$C$5:$C$400,$A14)</f>
        <v/>
      </c>
      <c r="F14" s="18">
        <f>IF(E14=0,"",E14-D14)</f>
        <v/>
      </c>
      <c r="G14" s="5">
        <f>IF(E14=0,"–",IF(E14&gt;=6000,"OK","UNDER"))</f>
        <v/>
      </c>
      <c r="H14" s="19">
        <f>SUMIFS(Log!$I$5:$I$400,Log!$C$5:$C$400,$A14)</f>
        <v/>
      </c>
      <c r="I14" s="19">
        <f>SUMIFS(Log!$L$5:$L$400,Log!$C$5:$C$400,$A14)</f>
        <v/>
      </c>
      <c r="J14" s="20">
        <f>IF(I14=0,"",I14-H14)</f>
        <v/>
      </c>
      <c r="K14" s="21">
        <f>COUNTIFS(Log!$C$5:$C$400,$A14)</f>
        <v/>
      </c>
      <c r="L14" s="21">
        <f>COUNTIFS(Log!$C$5:$C$400,$A14,Log!$J$5:$J$400,"Y")</f>
        <v/>
      </c>
      <c r="M14" s="22">
        <f>IFERROR(L14/K14,0)</f>
        <v/>
      </c>
    </row>
    <row r="15">
      <c r="A15" s="5" t="n">
        <v>11</v>
      </c>
      <c r="B15" s="5" t="inlineStr">
        <is>
          <t>2026-11-30</t>
        </is>
      </c>
      <c r="C15" s="7" t="inlineStr">
        <is>
          <t>Race week — run-only taper</t>
        </is>
      </c>
      <c r="D15" s="17">
        <f>SUMIFS(Log!$H$5:$H$400,Log!$C$5:$C$400,$A15)</f>
        <v/>
      </c>
      <c r="E15" s="17">
        <f>SUMIFS(Log!$K$5:$K$400,Log!$C$5:$C$400,$A15)</f>
        <v/>
      </c>
      <c r="F15" s="18">
        <f>IF(E15=0,"",E15-D15)</f>
        <v/>
      </c>
      <c r="G15" s="5">
        <f>IF(E15=0,"–",IF(E15&gt;=6000,"OK","UNDER"))</f>
        <v/>
      </c>
      <c r="H15" s="19">
        <f>SUMIFS(Log!$I$5:$I$400,Log!$C$5:$C$400,$A15)</f>
        <v/>
      </c>
      <c r="I15" s="19">
        <f>SUMIFS(Log!$L$5:$L$400,Log!$C$5:$C$400,$A15)</f>
        <v/>
      </c>
      <c r="J15" s="20">
        <f>IF(I15=0,"",I15-H15)</f>
        <v/>
      </c>
      <c r="K15" s="21">
        <f>COUNTIFS(Log!$C$5:$C$400,$A15)</f>
        <v/>
      </c>
      <c r="L15" s="21">
        <f>COUNTIFS(Log!$C$5:$C$400,$A15,Log!$J$5:$J$400,"Y")</f>
        <v/>
      </c>
      <c r="M15" s="22">
        <f>IFERROR(L15/K15,0)</f>
        <v/>
      </c>
    </row>
    <row r="16">
      <c r="A16" s="5" t="n">
        <v>12</v>
      </c>
      <c r="B16" s="5" t="inlineStr">
        <is>
          <t>2026-12-07</t>
        </is>
      </c>
      <c r="C16" s="7" t="inlineStr">
        <is>
          <t>Florida — front-load, then travel light</t>
        </is>
      </c>
      <c r="D16" s="17">
        <f>SUMIFS(Log!$H$5:$H$400,Log!$C$5:$C$400,$A16)</f>
        <v/>
      </c>
      <c r="E16" s="17">
        <f>SUMIFS(Log!$K$5:$K$400,Log!$C$5:$C$400,$A16)</f>
        <v/>
      </c>
      <c r="F16" s="18">
        <f>IF(E16=0,"",E16-D16)</f>
        <v/>
      </c>
      <c r="G16" s="5">
        <f>IF(E16=0,"–",IF(E16&gt;=6000,"OK","UNDER"))</f>
        <v/>
      </c>
      <c r="H16" s="19">
        <f>SUMIFS(Log!$I$5:$I$400,Log!$C$5:$C$400,$A16)</f>
        <v/>
      </c>
      <c r="I16" s="19">
        <f>SUMIFS(Log!$L$5:$L$400,Log!$C$5:$C$400,$A16)</f>
        <v/>
      </c>
      <c r="J16" s="20">
        <f>IF(I16=0,"",I16-H16)</f>
        <v/>
      </c>
      <c r="K16" s="21">
        <f>COUNTIFS(Log!$C$5:$C$400,$A16)</f>
        <v/>
      </c>
      <c r="L16" s="21">
        <f>COUNTIFS(Log!$C$5:$C$400,$A16,Log!$J$5:$J$400,"Y")</f>
        <v/>
      </c>
      <c r="M16" s="22">
        <f>IFERROR(L16/K16,0)</f>
        <v/>
      </c>
    </row>
    <row r="17">
      <c r="A17" s="5" t="n">
        <v>13</v>
      </c>
      <c r="B17" s="5" t="inlineStr">
        <is>
          <t>2026-12-14</t>
        </is>
      </c>
      <c r="C17" s="7" t="inlineStr">
        <is>
          <t>North Carolina — normal week restored</t>
        </is>
      </c>
      <c r="D17" s="17">
        <f>SUMIFS(Log!$H$5:$H$400,Log!$C$5:$C$400,$A17)</f>
        <v/>
      </c>
      <c r="E17" s="17">
        <f>SUMIFS(Log!$K$5:$K$400,Log!$C$5:$C$400,$A17)</f>
        <v/>
      </c>
      <c r="F17" s="18">
        <f>IF(E17=0,"",E17-D17)</f>
        <v/>
      </c>
      <c r="G17" s="5">
        <f>IF(E17=0,"–",IF(E17&gt;=6000,"OK","UNDER"))</f>
        <v/>
      </c>
      <c r="H17" s="19">
        <f>SUMIFS(Log!$I$5:$I$400,Log!$C$5:$C$400,$A17)</f>
        <v/>
      </c>
      <c r="I17" s="19">
        <f>SUMIFS(Log!$L$5:$L$400,Log!$C$5:$C$400,$A17)</f>
        <v/>
      </c>
      <c r="J17" s="20">
        <f>IF(I17=0,"",I17-H17)</f>
        <v/>
      </c>
      <c r="K17" s="21">
        <f>COUNTIFS(Log!$C$5:$C$400,$A17)</f>
        <v/>
      </c>
      <c r="L17" s="21">
        <f>COUNTIFS(Log!$C$5:$C$400,$A17,Log!$J$5:$J$400,"Y")</f>
        <v/>
      </c>
      <c r="M17" s="22">
        <f>IFERROR(L17/K17,0)</f>
        <v/>
      </c>
    </row>
    <row r="18">
      <c r="A18" s="5" t="n">
        <v>14</v>
      </c>
      <c r="B18" s="5" t="inlineStr">
        <is>
          <t>2026-12-21</t>
        </is>
      </c>
      <c r="C18" s="7" t="inlineStr">
        <is>
          <t>Edmonton — holidays, kept honest</t>
        </is>
      </c>
      <c r="D18" s="17">
        <f>SUMIFS(Log!$H$5:$H$400,Log!$C$5:$C$400,$A18)</f>
        <v/>
      </c>
      <c r="E18" s="17">
        <f>SUMIFS(Log!$K$5:$K$400,Log!$C$5:$C$400,$A18)</f>
        <v/>
      </c>
      <c r="F18" s="18">
        <f>IF(E18=0,"",E18-D18)</f>
        <v/>
      </c>
      <c r="G18" s="5">
        <f>IF(E18=0,"–",IF(E18&gt;=6000,"OK","UNDER"))</f>
        <v/>
      </c>
      <c r="H18" s="19">
        <f>SUMIFS(Log!$I$5:$I$400,Log!$C$5:$C$400,$A18)</f>
        <v/>
      </c>
      <c r="I18" s="19">
        <f>SUMIFS(Log!$L$5:$L$400,Log!$C$5:$C$400,$A18)</f>
        <v/>
      </c>
      <c r="J18" s="20">
        <f>IF(I18=0,"",I18-H18)</f>
        <v/>
      </c>
      <c r="K18" s="21">
        <f>COUNTIFS(Log!$C$5:$C$400,$A18)</f>
        <v/>
      </c>
      <c r="L18" s="21">
        <f>COUNTIFS(Log!$C$5:$C$400,$A18,Log!$J$5:$J$400,"Y")</f>
        <v/>
      </c>
      <c r="M18" s="22">
        <f>IFERROR(L18/K18,0)</f>
        <v/>
      </c>
    </row>
    <row r="19">
      <c r="A19" s="5" t="n">
        <v>15</v>
      </c>
      <c r="B19" s="5" t="inlineStr">
        <is>
          <t>2026-12-28</t>
        </is>
      </c>
      <c r="C19" s="7" t="inlineStr">
        <is>
          <t>Close the block</t>
        </is>
      </c>
      <c r="D19" s="17">
        <f>SUMIFS(Log!$H$5:$H$400,Log!$C$5:$C$400,$A19)</f>
        <v/>
      </c>
      <c r="E19" s="17">
        <f>SUMIFS(Log!$K$5:$K$400,Log!$C$5:$C$400,$A19)</f>
        <v/>
      </c>
      <c r="F19" s="18">
        <f>IF(E19=0,"",E19-D19)</f>
        <v/>
      </c>
      <c r="G19" s="5">
        <f>IF(E19=0,"–",IF(E19&gt;=6000,"OK","UNDER"))</f>
        <v/>
      </c>
      <c r="H19" s="19">
        <f>SUMIFS(Log!$I$5:$I$400,Log!$C$5:$C$400,$A19)</f>
        <v/>
      </c>
      <c r="I19" s="19">
        <f>SUMIFS(Log!$L$5:$L$400,Log!$C$5:$C$400,$A19)</f>
        <v/>
      </c>
      <c r="J19" s="20">
        <f>IF(I19=0,"",I19-H19)</f>
        <v/>
      </c>
      <c r="K19" s="21">
        <f>COUNTIFS(Log!$C$5:$C$400,$A19)</f>
        <v/>
      </c>
      <c r="L19" s="21">
        <f>COUNTIFS(Log!$C$5:$C$400,$A19,Log!$J$5:$J$400,"Y")</f>
        <v/>
      </c>
      <c r="M19" s="22">
        <f>IFERROR(L19/K19,0)</f>
        <v/>
      </c>
    </row>
    <row r="20">
      <c r="A20" s="23" t="inlineStr">
        <is>
          <t>All</t>
        </is>
      </c>
      <c r="B20" s="24" t="n"/>
      <c r="C20" s="23" t="inlineStr">
        <is>
          <t>Block total</t>
        </is>
      </c>
      <c r="D20" s="25">
        <f>SUM(D5:D19)</f>
        <v/>
      </c>
      <c r="E20" s="25">
        <f>SUM(E5:E19)</f>
        <v/>
      </c>
      <c r="F20" s="24" t="n"/>
      <c r="G20" s="24" t="n"/>
      <c r="H20" s="26">
        <f>SUM(H5:H19)</f>
        <v/>
      </c>
      <c r="I20" s="26">
        <f>SUM(I5:I19)</f>
        <v/>
      </c>
      <c r="J20" s="24" t="n"/>
      <c r="K20" s="23">
        <f>SUM(K5:K19)</f>
        <v/>
      </c>
      <c r="L20" s="23">
        <f>SUM(L5:L19)</f>
        <v/>
      </c>
      <c r="M20" s="27">
        <f>IFERROR(L20/K20,0)</f>
        <v/>
      </c>
    </row>
  </sheetData>
  <mergeCells count="2">
    <mergeCell ref="A2:M2"/>
    <mergeCell ref="A1:M1"/>
  </mergeCells>
  <conditionalFormatting sqref="G5:G19">
    <cfRule type="cellIs" priority="1" operator="equal" dxfId="1">
      <formula>"UNDER"</formula>
    </cfRule>
    <cfRule type="cellIs" priority="2" operator="equal" dxfId="2">
      <formula>"OK"</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
  <sheetViews>
    <sheetView showGridLines="0" workbookViewId="0">
      <selection activeCell="A1" sqref="A1"/>
    </sheetView>
  </sheetViews>
  <sheetFormatPr baseColWidth="8" defaultRowHeight="15"/>
  <cols>
    <col width="24" customWidth="1" min="1" max="1"/>
    <col width="16" customWidth="1" min="2" max="2"/>
    <col width="40" customWidth="1" min="3" max="3"/>
    <col width="44" customWidth="1" min="4" max="4"/>
    <col width="14" customWidth="1" min="5" max="5"/>
    <col width="52" customWidth="1" min="6" max="6"/>
  </cols>
  <sheetData>
    <row r="1">
      <c r="A1" s="1" t="inlineStr">
        <is>
          <t>Swim — the engine of this block</t>
        </is>
      </c>
    </row>
    <row r="2">
      <c r="A2" s="2" t="inlineStr">
        <is>
          <t>CSS drives every send-off. Retest Sep 21, Nov 9, Dec 28 and update the yellow cells.</t>
        </is>
      </c>
    </row>
    <row r="4">
      <c r="A4" s="28" t="inlineStr">
        <is>
          <t>CSS test log</t>
        </is>
      </c>
    </row>
    <row r="5">
      <c r="A5" s="3" t="inlineStr">
        <is>
          <t>Date</t>
        </is>
      </c>
      <c r="B5" s="3" t="inlineStr">
        <is>
          <t>400 yd time</t>
        </is>
      </c>
      <c r="C5" s="3" t="inlineStr">
        <is>
          <t>200 yd time</t>
        </is>
      </c>
      <c r="D5" s="3" t="inlineStr">
        <is>
          <t>CSS /100 yd (sec)</t>
        </is>
      </c>
      <c r="E5" s="3" t="inlineStr">
        <is>
          <t>CSS as m:ss</t>
        </is>
      </c>
      <c r="F5" s="3" t="inlineStr">
        <is>
          <t>Notes</t>
        </is>
      </c>
    </row>
    <row r="6">
      <c r="A6" s="29" t="inlineStr">
        <is>
          <t>2026-09-21</t>
        </is>
      </c>
      <c r="B6" s="30" t="n">
        <v>0.004930555555555555</v>
      </c>
      <c r="C6" s="30" t="n">
        <v>0.002314814814814815</v>
      </c>
      <c r="D6" s="31">
        <f>IF(OR(B6="",C6=""),"",ROUND((B6-C6)*86400/2,1))</f>
        <v/>
      </c>
      <c r="E6" s="32">
        <f>IF(D6="","",INT(D6/60)&amp;":"&amp;TEXT(MOD(D6,60),"00"))</f>
        <v/>
      </c>
      <c r="F6" s="13" t="inlineStr">
        <is>
          <t>First CSS test. The 400/200 ratio is 2.13, inside the normal 2.10–2.20 band, so the number is internally consistent. What the ratio cannot detect is both swims being submaximal together, and that now looks like what happened: on Oct 5 the warm-up 400 came in at 7:07.5 and the 5 × 200 that followed averaged 1:47.6/100 without fading. Treat 1:53 as a soft floor rather than a true threshold until Nov 9 re-measures it.</t>
        </is>
      </c>
    </row>
    <row r="7">
      <c r="A7" s="29" t="inlineStr">
        <is>
          <t>2026-11-09</t>
        </is>
      </c>
      <c r="B7" s="33" t="n"/>
      <c r="C7" s="33" t="n"/>
      <c r="D7" s="31">
        <f>IF(OR(B7="",C7=""),"",ROUND((B7-C7)*86400/2,1))</f>
        <v/>
      </c>
      <c r="E7" s="32">
        <f>IF(D7="","",INT(D7/60)&amp;":"&amp;TEXT(MOD(D7,60),"00"))</f>
        <v/>
      </c>
      <c r="F7" s="34" t="n"/>
    </row>
    <row r="8">
      <c r="A8" s="29" t="inlineStr">
        <is>
          <t>2026-12-28</t>
        </is>
      </c>
      <c r="B8" s="33" t="n"/>
      <c r="C8" s="33" t="n"/>
      <c r="D8" s="31">
        <f>IF(OR(B8="",C8=""),"",ROUND((B8-C8)*86400/2,1))</f>
        <v/>
      </c>
      <c r="E8" s="32">
        <f>IF(D8="","",INT(D8/60)&amp;":"&amp;TEXT(MOD(D8,60),"00"))</f>
        <v/>
      </c>
      <c r="F8" s="34" t="n"/>
    </row>
    <row r="9">
      <c r="A9" s="2" t="inlineStr">
        <is>
          <t>Enter times as m:ss (e.g. 7:40). CSS = (T400 − T200) ÷ 2, in seconds per 100 yd. Yellow rows are retests still to come — fill the two times and CSS computes itself.</t>
        </is>
      </c>
    </row>
    <row r="11">
      <c r="A11" s="28" t="inlineStr">
        <is>
          <t>Week 8 retest target — 2026-11-09</t>
        </is>
      </c>
    </row>
    <row r="12">
      <c r="A12" s="3" t="inlineStr">
        <is>
          <t>Scenario</t>
        </is>
      </c>
      <c r="B12" s="3" t="inlineStr">
        <is>
          <t>400 yd</t>
        </is>
      </c>
      <c r="C12" s="3" t="inlineStr">
        <is>
          <t>200 yd</t>
        </is>
      </c>
      <c r="D12" s="3" t="inlineStr">
        <is>
          <t>CSS /100 yd</t>
        </is>
      </c>
    </row>
    <row r="13">
      <c r="A13" s="7" t="inlineStr">
        <is>
          <t>Sep 21 baseline</t>
        </is>
      </c>
      <c r="B13" s="5" t="inlineStr">
        <is>
          <t>7:06</t>
        </is>
      </c>
      <c r="C13" s="5" t="inlineStr">
        <is>
          <t>3:20</t>
        </is>
      </c>
      <c r="D13" s="5" t="inlineStr">
        <is>
          <t>1:53</t>
        </is>
      </c>
    </row>
    <row r="14">
      <c r="A14" s="7" t="inlineStr">
        <is>
          <t>Floor — an honest test, no fitness gained</t>
        </is>
      </c>
      <c r="B14" s="5" t="inlineStr">
        <is>
          <t>7:00</t>
        </is>
      </c>
      <c r="C14" s="5" t="inlineStr">
        <is>
          <t>3:18</t>
        </is>
      </c>
      <c r="D14" s="5" t="inlineStr">
        <is>
          <t>1:51</t>
        </is>
      </c>
    </row>
    <row r="15">
      <c r="A15" s="7" t="inlineStr">
        <is>
          <t>Good — the number to aim at</t>
        </is>
      </c>
      <c r="B15" s="5" t="inlineStr">
        <is>
          <t>6:52</t>
        </is>
      </c>
      <c r="C15" s="5" t="inlineStr">
        <is>
          <t>3:16</t>
        </is>
      </c>
      <c r="D15" s="5" t="inlineStr">
        <is>
          <t>1:48</t>
        </is>
      </c>
    </row>
    <row r="16">
      <c r="A16" s="7" t="inlineStr">
        <is>
          <t>Strong</t>
        </is>
      </c>
      <c r="B16" s="5" t="inlineStr">
        <is>
          <t>6:44</t>
        </is>
      </c>
      <c r="C16" s="5" t="inlineStr">
        <is>
          <t>3:12</t>
        </is>
      </c>
      <c r="D16" s="5" t="inlineStr">
        <is>
          <t>1:46</t>
        </is>
      </c>
    </row>
    <row r="17" ht="30" customHeight="1">
      <c r="A17" s="35" t="inlineStr">
        <is>
          <t>Two execution notes, both learned the hard way. First, warm up genuinely easy — 2:08–2:13/100, not the 1:45s of the last two sessions — because a 400 TT off a hard warm-up is just a second hard swim. Second, pace the 400 off the clock and not off feel: 1:42 for the first 100, 1:43s through the middle, empty the tank on the last 50. Then 5 min full rest before the 200. Run the protocol identically or the comparison means nothing.</t>
        </is>
      </c>
    </row>
    <row r="19">
      <c r="A19" s="28" t="inlineStr">
        <is>
          <t>Pace zones (recalculate off your measured CSS)</t>
        </is>
      </c>
    </row>
    <row r="20">
      <c r="A20" s="3" t="inlineStr">
        <is>
          <t>Zone</t>
        </is>
      </c>
      <c r="B20" s="3" t="inlineStr">
        <is>
          <t>Target</t>
        </is>
      </c>
      <c r="C20" s="3" t="inlineStr">
        <is>
          <t>Cue</t>
        </is>
      </c>
    </row>
    <row r="21">
      <c r="A21" s="5" t="inlineStr">
        <is>
          <t>Easy / recovery</t>
        </is>
      </c>
      <c r="B21" s="5" t="inlineStr">
        <is>
          <t>2:08–2:13</t>
        </is>
      </c>
      <c r="C21" s="7" t="inlineStr">
        <is>
          <t>CSS + 15–20 s. Conversational. Warm-up, cool-down, and the technique swim.</t>
        </is>
      </c>
    </row>
    <row r="22">
      <c r="A22" s="5" t="inlineStr">
        <is>
          <t>Aerobic (Z2)</t>
        </is>
      </c>
      <c r="B22" s="5" t="inlineStr">
        <is>
          <t>2:01–2:05</t>
        </is>
      </c>
      <c r="C22" s="7" t="inlineStr">
        <is>
          <t>CSS + 8–12 s. What a long continuous swim should feel like. Nose-breathing calm.</t>
        </is>
      </c>
    </row>
    <row r="23">
      <c r="A23" s="5" t="inlineStr">
        <is>
          <t>CSS / threshold</t>
        </is>
      </c>
      <c r="B23" s="5" t="inlineStr">
        <is>
          <t>1:51–1:55</t>
        </is>
      </c>
      <c r="C23" s="7" t="inlineStr">
        <is>
          <t>Your tested 1:53, give or take 2 s. The engine of this block — comfortably hard, repeatable for 20–40 min of work.</t>
        </is>
      </c>
    </row>
    <row r="24">
      <c r="A24" s="5" t="inlineStr">
        <is>
          <t>Fast (VO2)</t>
        </is>
      </c>
      <c r="B24" s="5" t="inlineStr">
        <is>
          <t>1:45–1:48</t>
        </is>
      </c>
      <c r="C24" s="7" t="inlineStr">
        <is>
          <t>CSS −5 to −8 s. 50s and short 100s, still with a clean catch and a long stroke.</t>
        </is>
      </c>
    </row>
    <row r="25">
      <c r="A25" s="5" t="inlineStr">
        <is>
          <t>Sprint</t>
        </is>
      </c>
      <c r="B25" s="5" t="inlineStr">
        <is>
          <t>1:35–1:40</t>
        </is>
      </c>
      <c r="C25" s="7" t="inlineStr">
        <is>
          <t>25s and the last 50 of a set. 1:40 is your 200 TT pace — anything quicker is a genuine sprint, so use it sparingly.</t>
        </is>
      </c>
    </row>
    <row r="27">
      <c r="A27" s="28" t="inlineStr">
        <is>
          <t>Send-offs</t>
        </is>
      </c>
    </row>
    <row r="28">
      <c r="A28" s="3" t="inlineStr">
        <is>
          <t>Set</t>
        </is>
      </c>
      <c r="B28" s="3" t="inlineStr">
        <is>
          <t>Send-off</t>
        </is>
      </c>
      <c r="C28" s="3" t="inlineStr">
        <is>
          <t>Rest</t>
        </is>
      </c>
    </row>
    <row r="29">
      <c r="A29" s="7" t="inlineStr">
        <is>
          <t>100 aerobic</t>
        </is>
      </c>
      <c r="B29" s="5" t="inlineStr">
        <is>
          <t>2:30</t>
        </is>
      </c>
      <c r="C29" s="5" t="inlineStr">
        <is>
          <t>~27 s</t>
        </is>
      </c>
    </row>
    <row r="30">
      <c r="A30" s="7" t="inlineStr">
        <is>
          <t>100 threshold (CSS)</t>
        </is>
      </c>
      <c r="B30" s="5" t="inlineStr">
        <is>
          <t>2:15</t>
        </is>
      </c>
      <c r="C30" s="5" t="inlineStr">
        <is>
          <t>~22 s</t>
        </is>
      </c>
    </row>
    <row r="31">
      <c r="A31" s="7" t="inlineStr">
        <is>
          <t>100 fast</t>
        </is>
      </c>
      <c r="B31" s="5" t="inlineStr">
        <is>
          <t>2:30</t>
        </is>
      </c>
      <c r="C31" s="5" t="inlineStr">
        <is>
          <t>~43 s</t>
        </is>
      </c>
    </row>
    <row r="32">
      <c r="A32" s="7" t="inlineStr">
        <is>
          <t>50 aerobic</t>
        </is>
      </c>
      <c r="B32" s="5" t="inlineStr">
        <is>
          <t>1:15</t>
        </is>
      </c>
      <c r="C32" s="5" t="inlineStr">
        <is>
          <t>~13 s</t>
        </is>
      </c>
    </row>
    <row r="33">
      <c r="A33" s="7" t="inlineStr">
        <is>
          <t>50 threshold (CSS)</t>
        </is>
      </c>
      <c r="B33" s="5" t="inlineStr">
        <is>
          <t>1:05</t>
        </is>
      </c>
      <c r="C33" s="5" t="inlineStr">
        <is>
          <t>~8 s</t>
        </is>
      </c>
    </row>
    <row r="34">
      <c r="A34" s="7" t="inlineStr">
        <is>
          <t>50 fast</t>
        </is>
      </c>
      <c r="B34" s="5" t="inlineStr">
        <is>
          <t>1:15</t>
        </is>
      </c>
      <c r="C34" s="5" t="inlineStr">
        <is>
          <t>~22 s</t>
        </is>
      </c>
    </row>
    <row r="35">
      <c r="A35" s="7" t="inlineStr">
        <is>
          <t>200 threshold (CSS)</t>
        </is>
      </c>
      <c r="B35" s="5" t="inlineStr">
        <is>
          <t>4:25</t>
        </is>
      </c>
      <c r="C35" s="5" t="inlineStr">
        <is>
          <t>~39 s</t>
        </is>
      </c>
    </row>
    <row r="37">
      <c r="A37" s="28" t="inlineStr">
        <is>
          <t>Drill progression</t>
        </is>
      </c>
    </row>
    <row r="38">
      <c r="A38" s="3" t="inlineStr">
        <is>
          <t>Phase</t>
        </is>
      </c>
      <c r="B38" s="3" t="inlineStr">
        <is>
          <t>Title</t>
        </is>
      </c>
      <c r="C38" s="3" t="inlineStr">
        <is>
          <t>Focus</t>
        </is>
      </c>
      <c r="D38" s="3" t="inlineStr">
        <is>
          <t>Drills</t>
        </is>
      </c>
    </row>
    <row r="39">
      <c r="A39" s="5" t="inlineStr">
        <is>
          <t>Weeks 1–3</t>
        </is>
      </c>
      <c r="B39" s="5" t="inlineStr">
        <is>
          <t>Body position + the send-off habit</t>
        </is>
      </c>
      <c r="C39" s="7" t="inlineStr">
        <is>
          <t>Get the new gear working and stop the sessions from being rest-dominated. Snorkel removes breathing as a variable so body and head position can actually be felt.</t>
        </is>
      </c>
      <c r="D39" s="7" t="inlineStr">
        <is>
          <t>Snorkel + fins, 6 × 50: flutter kick on front, eyes down, hips high. · 6-1-6 with fins, 4 × 50 per side: six kicks on the side, one stroke, six on the other. · Catch-up, 4 × 50: patient lead arm, long body line, no crossover. · Fingertip drag, 4 × 50: relaxed recovery, high elbow, unhurried rotation. · Breathe-3 on easy 50s only — warm-up and cool-down, never inside a hard set. · Left-side ladder starts here: side kick (left) until stable, then side kick + breathe.</t>
        </is>
      </c>
    </row>
    <row r="40">
      <c r="A40" s="5" t="inlineStr">
        <is>
          <t>Weeks 4–7</t>
        </is>
      </c>
      <c r="B40" s="5" t="inlineStr">
        <is>
          <t>Catch + symmetry</t>
        </is>
      </c>
      <c r="C40" s="7" t="inlineStr">
        <is>
          <t>Build an earlier, higher-elbow catch and start balancing the stroke. Paddles arrive in Week 5 and stay capped.</t>
        </is>
      </c>
      <c r="D40" s="7" t="inlineStr">
        <is>
          <t>Front scull, 3 × 50 with snorkel: forearm vertical, pressure back not down. · Single-arm freestyle, 4 × 50 per side: the weak (left-breathing) side gets the extra 50. · Left-breathing single-arm, 4 × 50 with fins: right arm as a rail, breathe left every stroke. · Closed-fist, 4 × 50, then 50 normal — the contrast teaches the forearm to grip water. · 3/5/3 breathing pattern through warm-ups: three strokes, five strokes, three. · Small paddles + pull buoy, max 400 yd: hold the catch, stop if the shoulder complains. · Breaststroke timing, 4 × 50: pull, breathe, kick, glide — one thing at a time.</t>
        </is>
      </c>
    </row>
    <row r="41">
      <c r="A41" s="5" t="inlineStr">
        <is>
          <t>Weeks 8–15</t>
        </is>
      </c>
      <c r="B41" s="5" t="inlineStr">
        <is>
          <t>Hold form under fatigue</t>
        </is>
      </c>
      <c r="C41" s="7" t="inlineStr">
        <is>
          <t>Technique that survives a hard set is the only technique that counts. Stroke count and SWOLF become the feedback loop since there is no coach on deck.</t>
        </is>
      </c>
      <c r="D41" s="7" t="inlineStr">
        <is>
          <t>Stroke-count ladder, 4 × 50: hold a fixed count per length, then drop it by one. · Descending 100s at a fixed stroke count — get faster without adding strokes. · Breathe-3 on easy 50s with rest, and only inside continuous swimming once the left breath survives those. · Sighting, 6 × 50: eyes just above the water every 6–8 strokes, ahead of open water next year. · Breaststroke 200 continuous — an honest second stroke, not a novelty. · Self-check every Monday: log the 100 that felt best and its stroke count.</t>
        </is>
      </c>
    </row>
    <row r="43">
      <c r="A43" s="28" t="inlineStr">
        <is>
          <t>Before every swim</t>
        </is>
      </c>
    </row>
    <row r="44">
      <c r="A44" s="3" t="inlineStr">
        <is>
          <t>Checklist</t>
        </is>
      </c>
    </row>
    <row r="45">
      <c r="A45" s="7" t="inlineStr">
        <is>
          <t>Fins and center-mount snorkel in the bag from Week 1; small paddles bought before Week 5, which is when they enter.</t>
        </is>
      </c>
    </row>
    <row r="46">
      <c r="A46" s="7" t="inlineStr">
        <is>
          <t>Know your CSS number and carry the send-off table on your phone.</t>
        </is>
      </c>
    </row>
    <row r="47">
      <c r="A47" s="7" t="inlineStr">
        <is>
          <t>Every main set leaves on the clock — if you are resting until you feel ready, the set is wrong.</t>
        </is>
      </c>
    </row>
    <row r="48">
      <c r="A48" s="7" t="inlineStr">
        <is>
          <t>Stroke count per 25 yd logged on the best 100 of each Monday session.</t>
        </is>
      </c>
    </row>
    <row r="49">
      <c r="A49" s="7" t="inlineStr">
        <is>
          <t>Left-side breathing competent — calm on easy 50s with rest by Week 7, inside continuous swimming by Week 10.</t>
        </is>
      </c>
    </row>
    <row r="50">
      <c r="A50" s="7" t="inlineStr">
        <is>
          <t>Breaststroke 200 continuous, relaxed, by Week 12.</t>
        </is>
      </c>
    </row>
    <row r="51">
      <c r="A51" s="7" t="inlineStr">
        <is>
          <t>Shoulder pain stays ≤ 2/10 — paddles are the first thing to drop if it does not.</t>
        </is>
      </c>
    </row>
  </sheetData>
  <mergeCells count="3">
    <mergeCell ref="A2:F2"/>
    <mergeCell ref="A1:F1"/>
    <mergeCell ref="A17:F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24" customWidth="1" min="1" max="1"/>
    <col width="20" customWidth="1" min="2" max="2"/>
    <col width="50" customWidth="1" min="3" max="3"/>
    <col width="50" customWidth="1" min="4" max="4"/>
    <col width="50" customWidth="1" min="5" max="5"/>
    <col width="54" customWidth="1" min="6" max="6"/>
  </cols>
  <sheetData>
    <row r="1">
      <c r="A1" s="1" t="inlineStr">
        <is>
          <t>Swim drill library</t>
        </is>
      </c>
    </row>
    <row r="2">
      <c r="A2" s="2" t="inlineStr">
        <is>
          <t>Every drill the sessions refer to by name. Gear is not decoration: a center-mount snorkel sits on the centreline of your face, so it floods the moment you rotate onto your side — side-lying drills, and anything whose point is getting air, are fins-only.</t>
        </is>
      </c>
    </row>
    <row r="4">
      <c r="A4" s="28" t="inlineStr">
        <is>
          <t>Drills</t>
        </is>
      </c>
    </row>
    <row r="5">
      <c r="A5" s="3" t="inlineStr">
        <is>
          <t>Drill</t>
        </is>
      </c>
      <c r="B5" s="3" t="inlineStr">
        <is>
          <t>Gear</t>
        </is>
      </c>
      <c r="C5" s="3" t="inlineStr">
        <is>
          <t>What you do</t>
        </is>
      </c>
      <c r="D5" s="3" t="inlineStr">
        <is>
          <t>Feel for</t>
        </is>
      </c>
      <c r="E5" s="3" t="inlineStr">
        <is>
          <t>Watch for</t>
        </is>
      </c>
      <c r="F5" s="3" t="inlineStr">
        <is>
          <t>Why it is in the plan</t>
        </is>
      </c>
    </row>
    <row r="6">
      <c r="A6" s="7" t="inlineStr">
        <is>
          <t>Front kick</t>
        </is>
      </c>
      <c r="B6" s="7" t="inlineStr">
        <is>
          <t>Snorkel + fins</t>
        </is>
      </c>
      <c r="C6" s="7" t="inlineStr">
        <is>
          <t>Kick on your front, arms extended in front or flat at your sides, face down, eyes straight at the bottom.</t>
        </is>
      </c>
      <c r="D6" s="7" t="inlineStr">
        <is>
          <t>Hips high and the kick coming from the hip, not the knee — small, fast, ankles loose. Your head is the rudder: lift it and the hips sink.</t>
        </is>
      </c>
      <c r="E6" s="7" t="inlineStr">
        <is>
          <t>Bending at the knee like pedalling a bike, and kicking big and slow because it feels more powerful. It isn't.</t>
        </is>
      </c>
      <c r="F6" s="7" t="inlineStr">
        <is>
          <t>This is the drill the snorkel exists for. With breathing removed you can actually feel where your hips are sitting.</t>
        </is>
      </c>
    </row>
    <row r="7">
      <c r="A7" s="7" t="inlineStr">
        <is>
          <t>Side kick</t>
        </is>
      </c>
      <c r="B7" s="7" t="inlineStr">
        <is>
          <t>Fins only — no snorkel</t>
        </is>
      </c>
      <c r="C7" s="7" t="inlineStr">
        <is>
          <t>Kick on one side, lead arm extended, top arm resting along your hip, body rotated a full 90°, head in line with your spine.</t>
        </is>
      </c>
      <c r="D7" s="7" t="inlineStr">
        <is>
          <t>Balance. You should be able to hold it without sculling to stay up. Press the lead armpit lightly down and stack the top hip directly over the bottom one.</t>
        </is>
      </c>
      <c r="E7" s="7" t="inlineStr">
        <is>
          <t>Rolling only 45° and calling it a side. Also craning your neck to look forward — keep the head in line and breathe by rolling slightly.</t>
        </is>
      </c>
      <c r="F7" s="7" t="inlineStr">
        <is>
          <t>At a true 90° a center-mount snorkel is lying sideways and will flood, which is why this one is fins-only.</t>
        </is>
      </c>
    </row>
    <row r="8">
      <c r="A8" s="7" t="inlineStr">
        <is>
          <t>Side kick + breathe</t>
        </is>
      </c>
      <c r="B8" s="7" t="inlineStr">
        <is>
          <t>Fins only — no snorkel</t>
        </is>
      </c>
      <c r="C8" s="7" t="inlineStr">
        <is>
          <t>Side-kick on your weak (left) side, lead arm extended as a rail. Stay there and take relaxed breaths by rolling your face just clear of the water, then rolling it back down. No stroke at all — just kick, breathe, kick.</t>
        </is>
      </c>
      <c r="D8" s="7" t="inlineStr">
        <is>
          <t>That you can get air on the left without anything else changing. The lower goggle stays in the water and the head rests on the lead shoulder rather than lifting off it.</t>
        </is>
      </c>
      <c r="E8" s="7" t="inlineStr">
        <is>
          <t>Pressing down on the lead arm to lever the face up. That is the exact move that drops your hips — the lead arm is a rail, not a lever. Also stopping the kick to breathe.</t>
        </is>
      </c>
      <c r="F8" s="7" t="inlineStr">
        <is>
          <t>This is the rung between rotating well and breathing well. Side kick teaches balance with no air; breathe-3 asks for balance and air at full stroke rate. This one asks for air while the balance is already solved, which is why it is the drill to start with when the left side sinks.</t>
        </is>
      </c>
    </row>
    <row r="9">
      <c r="A9" s="7" t="inlineStr">
        <is>
          <t>Left-breathing single-arm</t>
        </is>
      </c>
      <c r="B9" s="7" t="inlineStr">
        <is>
          <t>Fins — no snorkel</t>
        </is>
      </c>
      <c r="C9" s="7" t="inlineStr">
        <is>
          <t>Right arm stays extended in front as a rail. Left arm does every stroke, and you breathe to the left on every one.</t>
        </is>
      </c>
      <c r="D9" s="7" t="inlineStr">
        <is>
          <t>A breath that arrives because the body rotated, not because the neck turned. The extended right arm gives you something to balance against while the timing is still new.</t>
        </is>
      </c>
      <c r="E9" s="7" t="inlineStr">
        <is>
          <t>Pushing down on the extended right arm each time you go for air. Keep it patient and slightly deep — it holds a line, it does not hold you up.</t>
        </is>
      </c>
      <c r="F9" s="7" t="inlineStr">
        <is>
          <t>Bridges the gap between side kick and real swimming. You get the left breath many times per length with the support still present, which is the repetition the pattern needs before it survives a full stroke.</t>
        </is>
      </c>
    </row>
    <row r="10">
      <c r="A10" s="7" t="inlineStr">
        <is>
          <t>6-1-6</t>
        </is>
      </c>
      <c r="B10" s="7" t="inlineStr">
        <is>
          <t>Fins only — no snorkel</t>
        </is>
      </c>
      <c r="C10" s="7" t="inlineStr">
        <is>
          <t>From the side-kick position: six kicks on your left side, one full stroke, six kicks on your right, repeat.</t>
        </is>
      </c>
      <c r="D10" s="7" t="inlineStr">
        <is>
          <t>The hips drive the rotation and the arm just goes along with it. The single stroke should land you cleanly stacked on the other side, not halfway.</t>
        </is>
      </c>
      <c r="E10" s="7" t="inlineStr">
        <is>
          <t>Yanking yourself over with the arm, cutting the six kicks short, and quietly only rotating well to the strong side.</t>
        </is>
      </c>
      <c r="F10" s="7" t="inlineStr">
        <is>
          <t>Your rotation and your breathing share the same movement. This is the drill that fixes the left side — expect it to feel clumsy, that's the information.</t>
        </is>
      </c>
    </row>
    <row r="11">
      <c r="A11" s="7" t="inlineStr">
        <is>
          <t>Catch-up</t>
        </is>
      </c>
      <c r="B11" s="7" t="inlineStr">
        <is>
          <t>Snorkel + fins</t>
        </is>
      </c>
      <c r="C11" s="7" t="inlineStr">
        <is>
          <t>Full freestyle, but the lead arm stays extended out front until the recovering hand touches it, then they swap.</t>
        </is>
      </c>
      <c r="D11" s="7" t="inlineStr">
        <is>
          <t>A long, patient front end — one arm is always extended. This is front-quadrant timing.</t>
        </is>
      </c>
      <c r="E11" s="7" t="inlineStr">
        <is>
          <t>Letting the lead arm drop early, and crossing the centreline as the hand comes in to touch.</t>
        </is>
      </c>
      <c r="F11" s="7" t="inlineStr">
        <is>
          <t>Forces extension and stops the stroke from turning into a windmill where both arms are pulling at once.</t>
        </is>
      </c>
    </row>
    <row r="12">
      <c r="A12" s="7" t="inlineStr">
        <is>
          <t>Fingertip drag</t>
        </is>
      </c>
      <c r="B12" s="7" t="inlineStr">
        <is>
          <t>Fins; snorkel optional</t>
        </is>
      </c>
      <c r="C12" s="7" t="inlineStr">
        <is>
          <t>Normal freestyle, but your fingertips drag along the surface through the entire recovery.</t>
        </is>
      </c>
      <c r="D12" s="7" t="inlineStr">
        <is>
          <t>A high elbow and a heavy, relaxed hand. It should feel unhurried — the recovery is the rest part of the stroke.</t>
        </is>
      </c>
      <c r="E12" s="7" t="inlineStr">
        <is>
          <t>Swinging the arm wide around the side instead of leading with the elbow.</t>
        </is>
      </c>
      <c r="F12" s="7" t="inlineStr">
        <is>
          <t>You cannot drag your fingertips without a high elbow, so the drill enforces the shape rather than asking you to remember it.</t>
        </is>
      </c>
    </row>
    <row r="13">
      <c r="A13" s="7" t="inlineStr">
        <is>
          <t>Single-arm freestyle</t>
        </is>
      </c>
      <c r="B13" s="7" t="inlineStr">
        <is>
          <t>Snorkel + fins</t>
        </is>
      </c>
      <c r="C13" s="7" t="inlineStr">
        <is>
          <t>One arm does all the work. The other stays extended in front (harder, better balance) or rests at your side (more rotation).</t>
        </is>
      </c>
      <c r="D13" s="7" t="inlineStr">
        <is>
          <t>Exactly where in the pull you lose pressure. With only one arm there is nowhere to hide a weak catch.</t>
        </is>
      </c>
      <c r="E13" s="7" t="inlineStr">
        <is>
          <t>Rushing the front of the stroke, and forgetting to rotate because only one side is moving.</t>
        </is>
      </c>
      <c r="F13" s="7" t="inlineStr">
        <is>
          <t>The snorkel matters here — breathing during single-arm is awkward enough that it wrecks the drill.</t>
        </is>
      </c>
    </row>
    <row r="14">
      <c r="A14" s="7" t="inlineStr">
        <is>
          <t>Front scull</t>
        </is>
      </c>
      <c r="B14" s="7" t="inlineStr">
        <is>
          <t>Snorkel + pull buoy or fins</t>
        </is>
      </c>
      <c r="C14" s="7" t="inlineStr">
        <is>
          <t>Face down, forearms vertical, hands sweeping in and out in front of your head in small continuous figure-eights.</t>
        </is>
      </c>
      <c r="D14" s="7" t="inlineStr">
        <is>
          <t>Pressure pushing back toward your feet, not down toward the bottom. This is what 'grip on the water' actually means.</t>
        </is>
      </c>
      <c r="E14" s="7" t="inlineStr">
        <is>
          <t>Pressing down, which lifts your chest, drops your legs and stalls you.</t>
        </is>
      </c>
      <c r="F14" s="7" t="inlineStr">
        <is>
          <t>The catch is the hardest thing in freestyle to feel. Sculling slows it down enough to notice.</t>
        </is>
      </c>
    </row>
    <row r="15">
      <c r="A15" s="7" t="inlineStr">
        <is>
          <t>Closed-fist</t>
        </is>
      </c>
      <c r="B15" s="7" t="inlineStr">
        <is>
          <t>None</t>
        </is>
      </c>
      <c r="C15" s="7" t="inlineStr">
        <is>
          <t>Swim with your fists closed, then open the hands for the following length.</t>
        </is>
      </c>
      <c r="D15" s="7" t="inlineStr">
        <is>
          <t>With no hand you are forced onto the forearm. The lesson is the contrast when the hand comes back.</t>
        </is>
      </c>
      <c r="E15" s="7" t="inlineStr">
        <is>
          <t>Going easy. Swim it at normal effort or there is no contrast to feel.</t>
        </is>
      </c>
      <c r="F15" s="7" t="inlineStr">
        <is>
          <t>Teaches the forearm to do its share instead of the hand doing everything.</t>
        </is>
      </c>
    </row>
    <row r="16">
      <c r="A16" s="7" t="inlineStr">
        <is>
          <t>Breathe-3</t>
        </is>
      </c>
      <c r="B16" s="7" t="inlineStr">
        <is>
          <t>None</t>
        </is>
      </c>
      <c r="C16" s="7" t="inlineStr">
        <is>
          <t>Breathe every third stroke, which alternates the side you breathe to.</t>
        </is>
      </c>
      <c r="D16" s="7" t="inlineStr">
        <is>
          <t>Even. If one side feels like a different stroke, that is the asymmetry you are here to remove.</t>
        </is>
      </c>
      <c r="E16" s="7" t="inlineStr">
        <is>
          <t>Forcing it inside a hard set or a long continuous swim. Tried in the Oct 2 long swim and the hips and feet sank immediately — this drill is the top of the ladder, not the way onto it. Keep it to short easy 50s with rest until the left breath is stable there.</t>
        </is>
      </c>
      <c r="F16" s="7" t="inlineStr">
        <is>
          <t>You currently breathe right every two strokes. This is the single habit that unlocks the balanced stroke — but it is the last rung, reached through side kick, side kick + breathe and left-breathing single-arm, not jumped to.</t>
        </is>
      </c>
    </row>
    <row r="17">
      <c r="A17" s="7" t="inlineStr">
        <is>
          <t>3/5/3 breathing</t>
        </is>
      </c>
      <c r="B17" s="7" t="inlineStr">
        <is>
          <t>None</t>
        </is>
      </c>
      <c r="C17" s="7" t="inlineStr">
        <is>
          <t>Three strokes between breaths, then five, then back to three, through the warm-up.</t>
        </is>
      </c>
      <c r="D17" s="7" t="inlineStr">
        <is>
          <t>A long, steady exhale. The five teaches you that you are rarely short of air — you are short of exhale.</t>
        </is>
      </c>
      <c r="E17" s="7" t="inlineStr">
        <is>
          <t>Holding your breath and then gasping. Breathe out the whole time your face is down.</t>
        </is>
      </c>
      <c r="F17" s="7" t="inlineStr">
        <is>
          <t>Directly relevant to the left side sinking. Going from every-2 to every-3 means longer between breaths, so an incomplete exhale leaves you air-hungry, and air hunger makes you lift the head instead of rotating — which is what drops the hips. Fixing the exhale removes the reason to lift.</t>
        </is>
      </c>
    </row>
    <row r="18">
      <c r="A18" s="7" t="inlineStr">
        <is>
          <t>Breaststroke timing</t>
        </is>
      </c>
      <c r="B18" s="7" t="inlineStr">
        <is>
          <t>None — no snorkel</t>
        </is>
      </c>
      <c r="C18" s="7" t="inlineStr">
        <is>
          <t>Pull, breathe, kick, glide — deliberately one thing at a time, with a pause on the glide.</t>
        </is>
      </c>
      <c r="D18" s="7" t="inlineStr">
        <is>
          <t>The glide. Breaststroke is the one stroke where doing less, later, is faster.</t>
        </is>
      </c>
      <c r="E18" s="7" t="inlineStr">
        <is>
          <t>Rushing into the next pull before the glide has happened, so you fight your own kick.</t>
        </is>
      </c>
      <c r="F18" s="7" t="inlineStr">
        <is>
          <t>Your second stroke should be honest, not a novelty — and the breath is part of the timing, so no snorkel.</t>
        </is>
      </c>
    </row>
    <row r="19">
      <c r="A19" s="7" t="inlineStr">
        <is>
          <t>Stroke-count ladder</t>
        </is>
      </c>
      <c r="B19" s="7" t="inlineStr">
        <is>
          <t>None</t>
        </is>
      </c>
      <c r="C19" s="7" t="inlineStr">
        <is>
          <t>Hold a fixed number of strokes per 25, then take one stroke off each round.</t>
        </is>
      </c>
      <c r="D19" s="7" t="inlineStr">
        <is>
          <t>Distance per stroke. Getting faster without adding strokes is the whole game.</t>
        </is>
      </c>
      <c r="E19" s="7" t="inlineStr">
        <is>
          <t>Gliding to hit the number. You want a better catch, not a longer pause.</t>
        </is>
      </c>
      <c r="F19" s="7" t="inlineStr"/>
    </row>
    <row r="20">
      <c r="A20" s="7" t="inlineStr">
        <is>
          <t>Sighting</t>
        </is>
      </c>
      <c r="B20" s="7" t="inlineStr">
        <is>
          <t>None — no snorkel</t>
        </is>
      </c>
      <c r="C20" s="7" t="inlineStr">
        <is>
          <t>Lift the eyes just above the surface every six to eight strokes, then straight back down into the breath.</t>
        </is>
      </c>
      <c r="D20" s="7" t="inlineStr">
        <is>
          <t>Quick alligator eyes. The head barely moves and the rhythm does not break.</t>
        </is>
      </c>
      <c r="E20" s="7" t="inlineStr">
        <is>
          <t>Lifting the whole head, which sinks the hips and costs more than the look is worth.</t>
        </is>
      </c>
      <c r="F20" s="7" t="inlineStr">
        <is>
          <t>Free speed in open water next year, and cheap to build now.</t>
        </is>
      </c>
    </row>
    <row r="21">
      <c r="A21" s="7" t="inlineStr">
        <is>
          <t>Paddles + pull buoy</t>
        </is>
      </c>
      <c r="B21" s="7" t="inlineStr">
        <is>
          <t>Small paddles + pull buoy</t>
        </is>
      </c>
      <c r="C21" s="7" t="inlineStr">
        <is>
          <t>Pull sets only, capped at roughly 400 yd per session, small paddles only.</t>
        </is>
      </c>
      <c r="D21" s="7" t="inlineStr">
        <is>
          <t>The catch holding pressure for longer. If you feel it in the front of the shoulder, stop.</t>
        </is>
      </c>
      <c r="E21" s="7" t="inlineStr">
        <is>
          <t>Big paddles, or using them to swim faster rather than to hold a better catch.</t>
        </is>
      </c>
      <c r="F21" s="7" t="inlineStr">
        <is>
          <t>Three months of swimming is a young training age for a shoulder. Paddles are the first thing to drop if anything hurts above 2/10.</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showGridLines="0" workbookViewId="0">
      <selection activeCell="A1" sqref="A1"/>
    </sheetView>
  </sheetViews>
  <sheetFormatPr baseColWidth="8" defaultRowHeight="15"/>
  <cols>
    <col width="26" customWidth="1" min="1" max="1"/>
    <col width="16" customWidth="1" min="2" max="2"/>
    <col width="18" customWidth="1" min="3" max="3"/>
    <col width="62" customWidth="1" min="4" max="4"/>
    <col width="60" customWidth="1" min="5" max="5"/>
  </cols>
  <sheetData>
    <row r="1">
      <c r="A1" s="1" t="inlineStr">
        <is>
          <t>Bike — FTP and the winter power block</t>
        </is>
      </c>
    </row>
    <row r="2">
      <c r="A2" s="2" t="inlineStr">
        <is>
          <t>FTP is the bike's CSS: the highest power you could hold for about an hour, taken as 95% of a 20 min all-out average. Every interval in the plan is a percentage of it, so the zone table is formula-driven — update the test log and the zones re-cut themselves.</t>
        </is>
      </c>
    </row>
    <row r="4">
      <c r="A4" s="28" t="inlineStr">
        <is>
          <t>Body weight (kg)</t>
        </is>
      </c>
      <c r="B4" s="36" t="n">
        <v>72.59999999999999</v>
      </c>
      <c r="C4" s="2" t="inlineStr">
        <is>
          <t>Key assumption — every W/kg below divides by this cell. Source: plan.js blockMeta.bodyWeightKg (COROS profile). Update it if your weight moves.</t>
        </is>
      </c>
    </row>
    <row r="6">
      <c r="A6" s="28" t="inlineStr">
        <is>
          <t>FTP test log</t>
        </is>
      </c>
    </row>
    <row r="7">
      <c r="A7" s="3" t="inlineStr">
        <is>
          <t>Date</t>
        </is>
      </c>
      <c r="B7" s="3" t="inlineStr">
        <is>
          <t>20 min avg (W)</t>
        </is>
      </c>
      <c r="C7" s="3" t="inlineStr">
        <is>
          <t>FTP (W)</t>
        </is>
      </c>
      <c r="D7" s="3" t="inlineStr">
        <is>
          <t>W/kg</t>
        </is>
      </c>
      <c r="E7" s="3" t="inlineStr">
        <is>
          <t>Notes</t>
        </is>
      </c>
    </row>
    <row r="8">
      <c r="A8" s="29" t="inlineStr">
        <is>
          <t>2026-10-01</t>
        </is>
      </c>
      <c r="B8" s="37" t="n">
        <v>196</v>
      </c>
      <c r="C8" s="38">
        <f>IF(B8="","",ROUND(B8*0.95,0))</f>
        <v/>
      </c>
      <c r="D8" s="39">
        <f>IF(C8="","",ROUND(C8/$B$4,2))</f>
        <v/>
      </c>
      <c r="E8" s="40" t="inlineStr">
        <is>
          <t>Split 205 W for 10 min, 195 W for 5 min, 180 W for the last 5 — a 12% fade. That shape is the signature of opening above threshold rather than of nutrition or sleep, which tend to lower the whole curve or cause a late cliff instead of a steady slide from minute ten. The plan said to open at 195 and the opening was 205. The cost is small — an even ride was probably worth 190-odd — so 186 W is the honest number to train against, and a mild underestimate rather than an optimistic one. It also lands inside the 180–200 W predicted from the Sep 23 Z2 ride, which means the estimate and the test agree.</t>
        </is>
      </c>
    </row>
    <row r="9">
      <c r="A9" s="29" t="inlineStr">
        <is>
          <t>2026-11-11</t>
        </is>
      </c>
      <c r="B9" s="41" t="n"/>
      <c r="C9" s="38">
        <f>IF(B9="","",ROUND(B9*0.95,0))</f>
        <v/>
      </c>
      <c r="D9" s="39">
        <f>IF(C9="","",ROUND(C9/$B$4,2))</f>
        <v/>
      </c>
      <c r="E9" s="40" t="inlineStr"/>
    </row>
    <row r="10" ht="30" customHeight="1">
      <c r="A10" s="35" t="inlineStr">
        <is>
          <t>Type the 20 min average into the blue column; FTP and W/kg are formulas. These are Keiser console watts — estimated from resistance and cadence, not measured by a strain gauge. Consistent against themselves, but not transferable to another bike or a real power meter. Retest on the same equipment or not at all.</t>
        </is>
      </c>
    </row>
    <row r="12">
      <c r="A12" s="28" t="inlineStr">
        <is>
          <t>Current FTP (W)</t>
        </is>
      </c>
      <c r="B12" s="42">
        <f>IFERROR(LOOKUP(2,1/($C$8:$C$9&lt;&gt;""),$C$8:$C$9),0)</f>
        <v/>
      </c>
      <c r="C12" s="2" t="inlineStr">
        <is>
          <t>Last completed test. The zone table below cuts off this cell.</t>
        </is>
      </c>
    </row>
    <row r="14">
      <c r="A14" s="28" t="inlineStr">
        <is>
          <t>Power zones (live — cut from current FTP)</t>
        </is>
      </c>
    </row>
    <row r="15">
      <c r="A15" s="3" t="inlineStr">
        <is>
          <t>Zone</t>
        </is>
      </c>
      <c r="B15" s="3" t="inlineStr">
        <is>
          <t>% of FTP</t>
        </is>
      </c>
      <c r="C15" s="3" t="inlineStr">
        <is>
          <t>Watts</t>
        </is>
      </c>
      <c r="D15" s="3" t="inlineStr">
        <is>
          <t>Cue</t>
        </is>
      </c>
    </row>
    <row r="16">
      <c r="A16" s="5" t="inlineStr">
        <is>
          <t>Recovery</t>
        </is>
      </c>
      <c r="B16" s="5" t="inlineStr">
        <is>
          <t>&lt; 55%</t>
        </is>
      </c>
      <c r="C16" s="5">
        <f>"&lt; "&amp;TEXT(ROUND($B$12*0.55,0),"0")&amp;" W"</f>
        <v/>
      </c>
      <c r="D16" s="7" t="inlineStr">
        <is>
          <t>Spinning between intervals. Should feel like nothing.</t>
        </is>
      </c>
    </row>
    <row r="17">
      <c r="A17" s="5" t="inlineStr">
        <is>
          <t>Endurance (Z2)</t>
        </is>
      </c>
      <c r="B17" s="5" t="inlineStr">
        <is>
          <t>56–75%</t>
        </is>
      </c>
      <c r="C17" s="5">
        <f>TEXT(ROUND($B$12*0.56,0),"0")&amp;"–"&amp;TEXT(ROUND($B$12*0.75,0),"0")&amp;" W"</f>
        <v/>
      </c>
      <c r="D17" s="7" t="inlineStr">
        <is>
          <t>Every easy ride. Note that the Sep 23 spin ran 130–150 W, so its top half was already tempo — this is the band it should have been in.</t>
        </is>
      </c>
    </row>
    <row r="18">
      <c r="A18" s="5" t="inlineStr">
        <is>
          <t>Tempo</t>
        </is>
      </c>
      <c r="B18" s="5" t="inlineStr">
        <is>
          <t>76–90%</t>
        </is>
      </c>
      <c r="C18" s="5">
        <f>TEXT(ROUND($B$12*0.76,0),"0")&amp;"–"&amp;TEXT(ROUND($B$12*0.9,0),"0")&amp;" W"</f>
        <v/>
      </c>
      <c r="D18" s="7" t="inlineStr">
        <is>
          <t>Steady, breathy, sustainable. Rarely prescribed on its own here — it mostly shows up as the back half of a long ride.</t>
        </is>
      </c>
    </row>
    <row r="19">
      <c r="A19" s="5" t="inlineStr">
        <is>
          <t>Sweet spot</t>
        </is>
      </c>
      <c r="B19" s="5" t="inlineStr">
        <is>
          <t>88–93%</t>
        </is>
      </c>
      <c r="C19" s="5">
        <f>TEXT(ROUND($B$12*0.88,0),"0")&amp;"–"&amp;TEXT(ROUND($B$12*0.93,0),"0")&amp;" W"</f>
        <v/>
      </c>
      <c r="D19" s="7" t="inlineStr">
        <is>
          <t>The workhorse of this block. Hard enough to move FTP, cheap enough in recovery that it does not steal from the swim and run days.</t>
        </is>
      </c>
    </row>
    <row r="20">
      <c r="A20" s="5" t="inlineStr">
        <is>
          <t>Threshold</t>
        </is>
      </c>
      <c r="B20" s="5" t="inlineStr">
        <is>
          <t>95–105%</t>
        </is>
      </c>
      <c r="C20" s="5">
        <f>TEXT(ROUND($B$12*0.95,0),"0")&amp;"–"&amp;TEXT(ROUND($B$12*1.05,0),"0")&amp;" W"</f>
        <v/>
      </c>
      <c r="D20" s="7" t="inlineStr">
        <is>
          <t>Around and just above FTP, 155–165 bpm. The 8 min repeats live here.</t>
        </is>
      </c>
    </row>
    <row r="21">
      <c r="A21" s="5" t="inlineStr">
        <is>
          <t>VO2max</t>
        </is>
      </c>
      <c r="B21" s="5" t="inlineStr">
        <is>
          <t>106–120%</t>
        </is>
      </c>
      <c r="C21" s="5">
        <f>TEXT(ROUND($B$12*1.06,0),"0")&amp;"–"&amp;TEXT(ROUND($B$12*1.2,0),"0")&amp;" W"</f>
        <v/>
      </c>
      <c r="D21" s="7" t="inlineStr">
        <is>
          <t>Short, sharp, sparingly. Raises the ceiling that sweet spot sits under.</t>
        </is>
      </c>
    </row>
    <row r="22">
      <c r="A22" s="5" t="inlineStr">
        <is>
          <t>70.3 race pace</t>
        </is>
      </c>
      <c r="B22" s="5" t="inlineStr">
        <is>
          <t>70–75%</t>
        </is>
      </c>
      <c r="C22" s="5">
        <f>TEXT(ROUND($B$12*0.7,0),"0")&amp;"–"&amp;TEXT(ROUND($B$12*0.75,0),"0")&amp;" W"</f>
        <v/>
      </c>
      <c r="D22" s="7" t="inlineStr">
        <is>
          <t>What today's FTP would let you ride for 56 miles while still running off it. Worth knowing because it is the gap: see the target below.</t>
        </is>
      </c>
    </row>
    <row r="24">
      <c r="A24" s="28" t="inlineStr">
        <is>
          <t>Week 8 retest target — 2026-11-11</t>
        </is>
      </c>
    </row>
    <row r="25">
      <c r="A25" s="3" t="inlineStr">
        <is>
          <t>Scenario</t>
        </is>
      </c>
      <c r="B25" s="3" t="inlineStr">
        <is>
          <t>20 min avg</t>
        </is>
      </c>
      <c r="C25" s="3" t="inlineStr">
        <is>
          <t>FTP</t>
        </is>
      </c>
      <c r="D25" s="3" t="inlineStr">
        <is>
          <t>W/kg</t>
        </is>
      </c>
    </row>
    <row r="26">
      <c r="A26" s="7" t="inlineStr">
        <is>
          <t>Now (Oct 1)</t>
        </is>
      </c>
      <c r="B26" s="5" t="inlineStr">
        <is>
          <t>196 W</t>
        </is>
      </c>
      <c r="C26" s="5" t="inlineStr">
        <is>
          <t>186 W</t>
        </is>
      </c>
      <c r="D26" s="5" t="inlineStr">
        <is>
          <t>2.56 W/kg</t>
        </is>
      </c>
    </row>
    <row r="27">
      <c r="A27" s="7" t="inlineStr">
        <is>
          <t>Good — +5%</t>
        </is>
      </c>
      <c r="B27" s="5" t="inlineStr">
        <is>
          <t>206 W</t>
        </is>
      </c>
      <c r="C27" s="5" t="inlineStr">
        <is>
          <t>195 W</t>
        </is>
      </c>
      <c r="D27" s="5" t="inlineStr">
        <is>
          <t>2.69 W/kg</t>
        </is>
      </c>
    </row>
    <row r="28">
      <c r="A28" s="7" t="inlineStr">
        <is>
          <t>Strong — +10%</t>
        </is>
      </c>
      <c r="B28" s="5" t="inlineStr">
        <is>
          <t>216 W</t>
        </is>
      </c>
      <c r="C28" s="5" t="inlineStr">
        <is>
          <t>205 W</t>
        </is>
      </c>
      <c r="D28" s="5" t="inlineStr">
        <is>
          <t>2.82 W/kg</t>
        </is>
      </c>
    </row>
    <row r="29" ht="30" customHeight="1">
      <c r="A29" s="35" t="inlineStr">
        <is>
          <t>Pace it evenly this time. The whole test is a pacing exercise: the number you get is the number you could hold for the full twenty minutes, so a fast first five buys nothing and costs the last ten. Same bike, same warm-up, and open at the target rather than at what feels good.</t>
        </is>
      </c>
    </row>
    <row r="31">
      <c r="A31" s="28" t="inlineStr">
        <is>
          <t>Why the winter bike block exists</t>
        </is>
      </c>
    </row>
    <row r="32">
      <c r="A32" s="3" t="inlineStr">
        <is>
          <t>Metric</t>
        </is>
      </c>
      <c r="B32" s="3" t="inlineStr">
        <is>
          <t>Value</t>
        </is>
      </c>
    </row>
    <row r="33">
      <c r="A33" s="7" t="inlineStr">
        <is>
          <t>Current</t>
        </is>
      </c>
      <c r="B33" s="5" t="inlineStr">
        <is>
          <t>186 W</t>
        </is>
      </c>
    </row>
    <row r="34">
      <c r="A34" s="7" t="inlineStr">
        <is>
          <t>Target</t>
        </is>
      </c>
      <c r="B34" s="5" t="inlineStr">
        <is>
          <t>220–240 W</t>
        </is>
      </c>
    </row>
    <row r="35">
      <c r="A35" s="7" t="inlineStr">
        <is>
          <t>Target W/kg</t>
        </is>
      </c>
      <c r="B35" s="5" t="inlineStr">
        <is>
          <t>3.0–3.3 W/kg</t>
        </is>
      </c>
    </row>
    <row r="36">
      <c r="A36" s="7" t="inlineStr">
        <is>
          <t>Deadline</t>
        </is>
      </c>
      <c r="B36" s="5" t="inlineStr">
        <is>
          <t>Victoria 70.3, late May 2027</t>
        </is>
      </c>
    </row>
    <row r="37" ht="30" customHeight="1">
      <c r="A37" s="35" t="inlineStr">
        <is>
          <t>An 18–29% gain. That is a lot to ask of six weeks and an entirely reasonable ask of eight months, which is what there is — this block only has to deliver the first third of it.</t>
        </is>
      </c>
    </row>
  </sheetData>
  <mergeCells count="5">
    <mergeCell ref="A29:E29"/>
    <mergeCell ref="A2:E2"/>
    <mergeCell ref="A10:E10"/>
    <mergeCell ref="A1:E1"/>
    <mergeCell ref="A37:E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10" customWidth="1" min="1" max="1"/>
    <col width="14" customWidth="1" min="2" max="2"/>
    <col width="7" customWidth="1" min="3" max="3"/>
    <col width="15" customWidth="1" min="4" max="4"/>
    <col width="16" customWidth="1" min="5" max="5"/>
    <col width="11" customWidth="1" min="6" max="6"/>
    <col width="68" customWidth="1" min="7" max="7"/>
  </cols>
  <sheetData>
    <row r="1">
      <c r="A1" s="1" t="inlineStr">
        <is>
          <t>Run ramp + lower-leg guardrails</t>
        </is>
      </c>
    </row>
    <row r="2">
      <c r="A2" s="2" t="inlineStr">
        <is>
          <t>The ramp is the plan; the protocol is what keeps you in it. Actual km is pulled from the Log.</t>
        </is>
      </c>
    </row>
    <row r="4">
      <c r="A4" s="28" t="inlineStr">
        <is>
          <t>Weekly ramp</t>
        </is>
      </c>
    </row>
    <row r="5">
      <c r="A5" s="3" t="inlineStr">
        <is>
          <t>Week</t>
        </is>
      </c>
      <c r="B5" s="3" t="inlineStr">
        <is>
          <t>Dates</t>
        </is>
      </c>
      <c r="C5" s="3" t="inlineStr">
        <is>
          <t>Runs</t>
        </is>
      </c>
      <c r="D5" s="3" t="inlineStr">
        <is>
          <t>Planned volume</t>
        </is>
      </c>
      <c r="E5" s="3" t="inlineStr">
        <is>
          <t>Actual (from Log)</t>
        </is>
      </c>
      <c r="F5" s="3" t="inlineStr">
        <is>
          <t>Long run</t>
        </is>
      </c>
      <c r="G5" s="3" t="inlineStr">
        <is>
          <t>Note</t>
        </is>
      </c>
    </row>
    <row r="6">
      <c r="A6" s="5" t="inlineStr">
        <is>
          <t>Week 1</t>
        </is>
      </c>
      <c r="B6" s="5" t="inlineStr">
        <is>
          <t>Sep 21–27</t>
        </is>
      </c>
      <c r="C6" s="5" t="inlineStr">
        <is>
          <t>1</t>
        </is>
      </c>
      <c r="D6" s="5" t="inlineStr">
        <is>
          <t>5 km</t>
        </is>
      </c>
      <c r="E6" s="43">
        <f>IFERROR(SUMIFS(Log!$L$5:$L$400,Log!$C$5:$C$400,1),0)</f>
        <v/>
      </c>
      <c r="F6" s="5" t="inlineStr">
        <is>
          <t>5 km</t>
        </is>
      </c>
      <c r="G6" s="7" t="inlineStr">
        <is>
          <t>Pre-orthotic holding pattern. Track or soft trail only.</t>
        </is>
      </c>
    </row>
    <row r="7">
      <c r="A7" s="5" t="inlineStr">
        <is>
          <t>Week 2</t>
        </is>
      </c>
      <c r="B7" s="5" t="inlineStr">
        <is>
          <t>Sep 28–Oct 4</t>
        </is>
      </c>
      <c r="C7" s="5" t="inlineStr">
        <is>
          <t>1</t>
        </is>
      </c>
      <c r="D7" s="5" t="inlineStr">
        <is>
          <t>6 km</t>
        </is>
      </c>
      <c r="E7" s="43">
        <f>IFERROR(SUMIFS(Log!$L$5:$L$400,Log!$C$5:$C$400,2),0)</f>
        <v/>
      </c>
      <c r="F7" s="5" t="inlineStr">
        <is>
          <t>6 km</t>
        </is>
      </c>
      <c r="G7" s="7" t="inlineStr">
        <is>
          <t>Add 4 × 20 s strides on grass. Still one run.</t>
        </is>
      </c>
    </row>
    <row r="8">
      <c r="A8" s="5" t="inlineStr">
        <is>
          <t>Week 3</t>
        </is>
      </c>
      <c r="B8" s="5" t="inlineStr">
        <is>
          <t>Oct 5–11</t>
        </is>
      </c>
      <c r="C8" s="5" t="inlineStr">
        <is>
          <t>2</t>
        </is>
      </c>
      <c r="D8" s="5" t="inlineStr">
        <is>
          <t>9 km</t>
        </is>
      </c>
      <c r="E8" s="43">
        <f>IFERROR(SUMIFS(Log!$L$5:$L$400,Log!$C$5:$C$400,3),0)</f>
        <v/>
      </c>
      <c r="F8" s="5" t="inlineStr">
        <is>
          <t>5 km</t>
        </is>
      </c>
      <c r="G8" s="7" t="inlineStr">
        <is>
          <t>Second run only if the orthotics have arrived. If not, repeat Week 2.</t>
        </is>
      </c>
    </row>
    <row r="9">
      <c r="A9" s="5" t="inlineStr">
        <is>
          <t>Week 4</t>
        </is>
      </c>
      <c r="B9" s="5" t="inlineStr">
        <is>
          <t>Oct 12–18</t>
        </is>
      </c>
      <c r="C9" s="5" t="inlineStr">
        <is>
          <t>2</t>
        </is>
      </c>
      <c r="D9" s="5" t="inlineStr">
        <is>
          <t>11 km</t>
        </is>
      </c>
      <c r="E9" s="43">
        <f>IFERROR(SUMIFS(Log!$L$5:$L$400,Log!$C$5:$C$400,4),0)</f>
        <v/>
      </c>
      <c r="F9" s="5" t="inlineStr">
        <is>
          <t>6 km</t>
        </is>
      </c>
      <c r="G9" s="7" t="inlineStr">
        <is>
          <t>First week in orthotics — expect new calf soreness, that is normal.</t>
        </is>
      </c>
    </row>
    <row r="10">
      <c r="A10" s="5" t="inlineStr">
        <is>
          <t>Week 5</t>
        </is>
      </c>
      <c r="B10" s="5" t="inlineStr">
        <is>
          <t>Oct 19–25</t>
        </is>
      </c>
      <c r="C10" s="5" t="inlineStr">
        <is>
          <t>3</t>
        </is>
      </c>
      <c r="D10" s="5" t="inlineStr">
        <is>
          <t>13 km</t>
        </is>
      </c>
      <c r="E10" s="43">
        <f>IFERROR(SUMIFS(Log!$L$5:$L$400,Log!$C$5:$C$400,5),0)</f>
        <v/>
      </c>
      <c r="F10" s="5" t="inlineStr">
        <is>
          <t>5 km</t>
        </is>
      </c>
      <c r="G10" s="7" t="inlineStr">
        <is>
          <t>Third run added as three short runs, not one long one.</t>
        </is>
      </c>
    </row>
    <row r="11">
      <c r="A11" s="5" t="inlineStr">
        <is>
          <t>Week 6</t>
        </is>
      </c>
      <c r="B11" s="5" t="inlineStr">
        <is>
          <t>Oct 26–Nov 1</t>
        </is>
      </c>
      <c r="C11" s="5" t="inlineStr">
        <is>
          <t>3</t>
        </is>
      </c>
      <c r="D11" s="5" t="inlineStr">
        <is>
          <t>14 km</t>
        </is>
      </c>
      <c r="E11" s="43">
        <f>IFERROR(SUMIFS(Log!$L$5:$L$400,Log!$C$5:$C$400,6),0)</f>
        <v/>
      </c>
      <c r="F11" s="5" t="inlineStr">
        <is>
          <t>6 km</t>
        </is>
      </c>
      <c r="G11" s="7" t="inlineStr">
        <is>
          <t>New York all week. Two swims, no bike — running carries the week, long run Saturday.</t>
        </is>
      </c>
    </row>
    <row r="12">
      <c r="A12" s="5" t="inlineStr">
        <is>
          <t>Week 7</t>
        </is>
      </c>
      <c r="B12" s="5" t="inlineStr">
        <is>
          <t>Nov 2–8</t>
        </is>
      </c>
      <c r="C12" s="5" t="inlineStr">
        <is>
          <t>3</t>
        </is>
      </c>
      <c r="D12" s="5" t="inlineStr">
        <is>
          <t>12 km</t>
        </is>
      </c>
      <c r="E12" s="43">
        <f>IFERROR(SUMIFS(Log!$L$5:$L$400,Log!$C$5:$C$400,7),0)</f>
        <v/>
      </c>
      <c r="F12" s="5" t="inlineStr">
        <is>
          <t>5 km</t>
        </is>
      </c>
      <c r="G12" s="7" t="inlineStr">
        <is>
          <t>Down week. Flying home plus three swims in three days — running gives way.</t>
        </is>
      </c>
    </row>
    <row r="13">
      <c r="A13" s="5" t="inlineStr">
        <is>
          <t>Week 8</t>
        </is>
      </c>
      <c r="B13" s="5" t="inlineStr">
        <is>
          <t>Nov 9–15</t>
        </is>
      </c>
      <c r="C13" s="5" t="inlineStr">
        <is>
          <t>3</t>
        </is>
      </c>
      <c r="D13" s="5" t="inlineStr">
        <is>
          <t>16 km</t>
        </is>
      </c>
      <c r="E13" s="43">
        <f>IFERROR(SUMIFS(Log!$L$5:$L$400,Log!$C$5:$C$400,8),0)</f>
        <v/>
      </c>
      <c r="F13" s="5" t="inlineStr">
        <is>
          <t>8 km</t>
        </is>
      </c>
      <c r="G13" s="7" t="inlineStr">
        <is>
          <t>Long run reaches race distance for the first time.</t>
        </is>
      </c>
    </row>
    <row r="14">
      <c r="A14" s="5" t="inlineStr">
        <is>
          <t>Week 9</t>
        </is>
      </c>
      <c r="B14" s="5" t="inlineStr">
        <is>
          <t>Nov 16–22</t>
        </is>
      </c>
      <c r="C14" s="5" t="inlineStr">
        <is>
          <t>3</t>
        </is>
      </c>
      <c r="D14" s="5" t="inlineStr">
        <is>
          <t>18 km</t>
        </is>
      </c>
      <c r="E14" s="43">
        <f>IFERROR(SUMIFS(Log!$L$5:$L$400,Log!$C$5:$C$400,9),0)</f>
        <v/>
      </c>
      <c r="F14" s="5" t="inlineStr">
        <is>
          <t>10 km</t>
        </is>
      </c>
      <c r="G14" s="7" t="inlineStr">
        <is>
          <t>Peak run week. 10 km long run, comfortably over race distance.</t>
        </is>
      </c>
    </row>
    <row r="15">
      <c r="A15" s="5" t="inlineStr">
        <is>
          <t>Week 10</t>
        </is>
      </c>
      <c r="B15" s="5" t="inlineStr">
        <is>
          <t>Nov 23–29</t>
        </is>
      </c>
      <c r="C15" s="5" t="inlineStr">
        <is>
          <t>3</t>
        </is>
      </c>
      <c r="D15" s="5" t="inlineStr">
        <is>
          <t>15 km</t>
        </is>
      </c>
      <c r="E15" s="43">
        <f>IFERROR(SUMIFS(Log!$L$5:$L$400,Log!$C$5:$C$400,10),0)</f>
        <v/>
      </c>
      <c r="F15" s="5" t="inlineStr">
        <is>
          <t>7 km</t>
        </is>
      </c>
      <c r="G15" s="7" t="inlineStr">
        <is>
          <t>Edmonton down week. Ice and cold — indoor track is fine here.</t>
        </is>
      </c>
    </row>
    <row r="16">
      <c r="A16" s="5" t="inlineStr">
        <is>
          <t>Week 11</t>
        </is>
      </c>
      <c r="B16" s="5" t="inlineStr">
        <is>
          <t>Nov 30–Dec 6</t>
        </is>
      </c>
      <c r="C16" s="5" t="inlineStr">
        <is>
          <t>2 + race</t>
        </is>
      </c>
      <c r="D16" s="5" t="inlineStr">
        <is>
          <t>16 km</t>
        </is>
      </c>
      <c r="E16" s="43">
        <f>IFERROR(SUMIFS(Log!$L$5:$L$400,Log!$C$5:$C$400,11),0)</f>
        <v/>
      </c>
      <c r="F16" s="5" t="inlineStr">
        <is>
          <t>8 km race</t>
        </is>
      </c>
      <c r="G16" s="7" t="inlineStr">
        <is>
          <t>Run-only taper. Swim and bike continue as normal; strength drops to Monday's full-body session only.</t>
        </is>
      </c>
    </row>
    <row r="17">
      <c r="A17" s="5" t="inlineStr">
        <is>
          <t>Week 12</t>
        </is>
      </c>
      <c r="B17" s="5" t="inlineStr">
        <is>
          <t>Dec 7–13</t>
        </is>
      </c>
      <c r="C17" s="5" t="inlineStr">
        <is>
          <t>3</t>
        </is>
      </c>
      <c r="D17" s="5" t="inlineStr">
        <is>
          <t>15 km</t>
        </is>
      </c>
      <c r="E17" s="43">
        <f>IFERROR(SUMIFS(Log!$L$5:$L$400,Log!$C$5:$C$400,12),0)</f>
        <v/>
      </c>
      <c r="F17" s="5" t="inlineStr">
        <is>
          <t>6 km</t>
        </is>
      </c>
      <c r="G17" s="7" t="inlineStr">
        <is>
          <t>Florida. Easy running in warm weather, no quality work.</t>
        </is>
      </c>
    </row>
    <row r="18">
      <c r="A18" s="5" t="inlineStr">
        <is>
          <t>Week 13</t>
        </is>
      </c>
      <c r="B18" s="5" t="inlineStr">
        <is>
          <t>Dec 14–20</t>
        </is>
      </c>
      <c r="C18" s="5" t="inlineStr">
        <is>
          <t>3</t>
        </is>
      </c>
      <c r="D18" s="5" t="inlineStr">
        <is>
          <t>17 km</t>
        </is>
      </c>
      <c r="E18" s="43">
        <f>IFERROR(SUMIFS(Log!$L$5:$L$400,Log!$C$5:$C$400,13),0)</f>
        <v/>
      </c>
      <c r="F18" s="5" t="inlineStr">
        <is>
          <t>8 km</t>
        </is>
      </c>
      <c r="G18" s="7" t="inlineStr">
        <is>
          <t>North Carolina gym week. Normal structure returns.</t>
        </is>
      </c>
    </row>
    <row r="19">
      <c r="A19" s="5" t="inlineStr">
        <is>
          <t>Week 14</t>
        </is>
      </c>
      <c r="B19" s="5" t="inlineStr">
        <is>
          <t>Dec 21–27</t>
        </is>
      </c>
      <c r="C19" s="5" t="inlineStr">
        <is>
          <t>3</t>
        </is>
      </c>
      <c r="D19" s="5" t="inlineStr">
        <is>
          <t>17 km</t>
        </is>
      </c>
      <c r="E19" s="43">
        <f>IFERROR(SUMIFS(Log!$L$5:$L$400,Log!$C$5:$C$400,14),0)</f>
        <v/>
      </c>
      <c r="F19" s="5" t="inlineStr">
        <is>
          <t>8 km</t>
        </is>
      </c>
      <c r="G19" s="7" t="inlineStr">
        <is>
          <t>Edmonton. Holiday gym hours — check before planning.</t>
        </is>
      </c>
    </row>
    <row r="20">
      <c r="A20" s="5" t="inlineStr">
        <is>
          <t>Week 15</t>
        </is>
      </c>
      <c r="B20" s="5" t="inlineStr">
        <is>
          <t>Dec 28–31</t>
        </is>
      </c>
      <c r="C20" s="5" t="inlineStr">
        <is>
          <t>2</t>
        </is>
      </c>
      <c r="D20" s="5" t="inlineStr">
        <is>
          <t>13 km</t>
        </is>
      </c>
      <c r="E20" s="43">
        <f>IFERROR(SUMIFS(Log!$L$5:$L$400,Log!$C$5:$C$400,15),0)</f>
        <v/>
      </c>
      <c r="F20" s="5" t="inlineStr">
        <is>
          <t>8 km</t>
        </is>
      </c>
      <c r="G20" s="7" t="inlineStr">
        <is>
          <t>Close the block. Carry a run base into January, do not rebuild it.</t>
        </is>
      </c>
    </row>
    <row r="22">
      <c r="A22" s="28" t="inlineStr">
        <is>
          <t>Lower-leg protocol — the non-negotiables</t>
        </is>
      </c>
    </row>
    <row r="23">
      <c r="A23" s="3" t="inlineStr">
        <is>
          <t>Rule</t>
        </is>
      </c>
    </row>
    <row r="24">
      <c r="A24" s="7" t="inlineStr">
        <is>
          <t>Soleus is the shin-splint muscle: bent-knee calf raises matter more than straight-leg ones. Full body A carries the straight-leg standing raise, Full body B the bent-knee seated raise at the bigger dose.</t>
        </is>
      </c>
    </row>
    <row r="25">
      <c r="A25" s="7" t="inlineStr">
        <is>
          <t>Tibialis raises, 3 × 20, directly load the anterior compartment — the CECS one. Never skip these.</t>
        </is>
      </c>
    </row>
    <row r="26">
      <c r="A26" s="7" t="inlineStr">
        <is>
          <t>Knee-to-wall ankle dorsiflexion test each Monday; target 10–12 cm. Losing range is an early warning.</t>
        </is>
      </c>
    </row>
    <row r="27">
      <c r="A27" s="7" t="inlineStr">
        <is>
          <t>Run cadence 175–180 spm. Higher cadence cuts tibial bone load at the same pace and is the cheapest injury insurance you have.</t>
        </is>
      </c>
    </row>
    <row r="28">
      <c r="A28" s="7" t="inlineStr">
        <is>
          <t>Surface priority: track &gt; soft trail &gt; gravel path &gt; pavement. Pavement is the 25% trigger, so treat it as the exception.</t>
        </is>
      </c>
    </row>
    <row r="29">
      <c r="A29" s="7" t="inlineStr">
        <is>
          <t>Never raise weekly run volume and the long run in the same week.</t>
        </is>
      </c>
    </row>
    <row r="30">
      <c r="A30" s="7" t="inlineStr">
        <is>
          <t>Two-day rule: tightness that is still there 48 h after a run means the next run is cut, not pushed.</t>
        </is>
      </c>
    </row>
    <row r="31">
      <c r="A31" s="7" t="inlineStr">
        <is>
          <t>Do not stretch aggressively into compartment pain — for CECS that makes it worse, not better.</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1"/>
  <sheetViews>
    <sheetView showGridLines="0" workbookViewId="0">
      <selection activeCell="A1" sqref="A1"/>
    </sheetView>
  </sheetViews>
  <sheetFormatPr baseColWidth="8" defaultRowHeight="15"/>
  <cols>
    <col width="46"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Strength templates + load log</t>
        </is>
      </c>
    </row>
    <row r="2">
      <c r="A2" s="2" t="inlineStr">
        <is>
          <t>Log the weight you actually used so progression is visible.</t>
        </is>
      </c>
    </row>
    <row r="4">
      <c r="A4" s="28" t="inlineStr">
        <is>
          <t>Full body A — hinge + pull</t>
        </is>
      </c>
    </row>
    <row r="5">
      <c r="A5" s="2" t="inlineStr">
        <is>
          <t>Hamstrings, glutes, gastrocnemius, lats, rear shoulder.</t>
        </is>
      </c>
    </row>
    <row r="6">
      <c r="A6" s="3" t="inlineStr">
        <is>
          <t>Exercise</t>
        </is>
      </c>
      <c r="B6" s="3" t="inlineStr">
        <is>
          <t>W1</t>
        </is>
      </c>
      <c r="C6" s="3" t="inlineStr">
        <is>
          <t>W2</t>
        </is>
      </c>
      <c r="D6" s="3" t="inlineStr">
        <is>
          <t>W3</t>
        </is>
      </c>
      <c r="E6" s="3" t="inlineStr">
        <is>
          <t>W4</t>
        </is>
      </c>
      <c r="F6" s="3" t="inlineStr">
        <is>
          <t>W5</t>
        </is>
      </c>
      <c r="G6" s="3" t="inlineStr">
        <is>
          <t>W6</t>
        </is>
      </c>
      <c r="H6" s="3" t="inlineStr">
        <is>
          <t>W7</t>
        </is>
      </c>
      <c r="I6" s="3" t="inlineStr">
        <is>
          <t>W8</t>
        </is>
      </c>
      <c r="J6" s="3" t="inlineStr">
        <is>
          <t>W9</t>
        </is>
      </c>
      <c r="K6" s="3" t="inlineStr">
        <is>
          <t>W10</t>
        </is>
      </c>
      <c r="L6" s="3" t="inlineStr">
        <is>
          <t>W11</t>
        </is>
      </c>
      <c r="M6" s="3" t="inlineStr">
        <is>
          <t>W12</t>
        </is>
      </c>
      <c r="N6" s="3" t="inlineStr">
        <is>
          <t>W13</t>
        </is>
      </c>
      <c r="O6" s="3" t="inlineStr">
        <is>
          <t>W14</t>
        </is>
      </c>
      <c r="P6" s="3" t="inlineStr">
        <is>
          <t>W15</t>
        </is>
      </c>
    </row>
    <row r="7">
      <c r="A7" s="7" t="inlineStr">
        <is>
          <t>Warm-up · banded lateral walk 2 × 15 per side, then two ramp-up sets of the first lift</t>
        </is>
      </c>
      <c r="B7" s="44" t="n"/>
      <c r="C7" s="44" t="n"/>
      <c r="D7" s="44" t="n"/>
      <c r="E7" s="44" t="n"/>
      <c r="F7" s="44" t="n"/>
      <c r="G7" s="44" t="n"/>
      <c r="H7" s="44" t="n"/>
      <c r="I7" s="44" t="n"/>
      <c r="J7" s="44" t="n"/>
      <c r="K7" s="44" t="n"/>
      <c r="L7" s="44" t="n"/>
      <c r="M7" s="44" t="n"/>
      <c r="N7" s="44" t="n"/>
      <c r="O7" s="44" t="n"/>
      <c r="P7" s="44" t="n"/>
    </row>
    <row r="8">
      <c r="A8" s="7" t="inlineStr">
        <is>
          <t>A1 · Barbell Romanian deadlift — 4 × 6–8, 3 s eccentric</t>
        </is>
      </c>
      <c r="B8" s="44" t="n"/>
      <c r="C8" s="44" t="n"/>
      <c r="D8" s="44" t="n"/>
      <c r="E8" s="44" t="n"/>
      <c r="F8" s="44" t="n"/>
      <c r="G8" s="44" t="n"/>
      <c r="H8" s="44" t="n"/>
      <c r="I8" s="44" t="n"/>
      <c r="J8" s="44" t="n"/>
      <c r="K8" s="44" t="n"/>
      <c r="L8" s="44" t="n"/>
      <c r="M8" s="44" t="n"/>
      <c r="N8" s="44" t="n"/>
      <c r="O8" s="44" t="n"/>
      <c r="P8" s="44" t="n"/>
    </row>
    <row r="9">
      <c r="A9" s="7" t="inlineStr">
        <is>
          <t>A2 · Weighted pull-up or lat pulldown — 4 × 6–8</t>
        </is>
      </c>
      <c r="B9" s="44" t="n"/>
      <c r="C9" s="44" t="n"/>
      <c r="D9" s="44" t="n"/>
      <c r="E9" s="44" t="n"/>
      <c r="F9" s="44" t="n"/>
      <c r="G9" s="44" t="n"/>
      <c r="H9" s="44" t="n"/>
      <c r="I9" s="44" t="n"/>
      <c r="J9" s="44" t="n"/>
      <c r="K9" s="44" t="n"/>
      <c r="L9" s="44" t="n"/>
      <c r="M9" s="44" t="n"/>
      <c r="N9" s="44" t="n"/>
      <c r="O9" s="44" t="n"/>
      <c r="P9" s="44" t="n"/>
    </row>
    <row r="10">
      <c r="A10" s="7" t="inlineStr">
        <is>
          <t>B1 · Smith Bulgarian split squat — 3 × 8 per leg</t>
        </is>
      </c>
      <c r="B10" s="44" t="n"/>
      <c r="C10" s="44" t="n"/>
      <c r="D10" s="44" t="n"/>
      <c r="E10" s="44" t="n"/>
      <c r="F10" s="44" t="n"/>
      <c r="G10" s="44" t="n"/>
      <c r="H10" s="44" t="n"/>
      <c r="I10" s="44" t="n"/>
      <c r="J10" s="44" t="n"/>
      <c r="K10" s="44" t="n"/>
      <c r="L10" s="44" t="n"/>
      <c r="M10" s="44" t="n"/>
      <c r="N10" s="44" t="n"/>
      <c r="O10" s="44" t="n"/>
      <c r="P10" s="44" t="n"/>
    </row>
    <row r="11">
      <c r="A11" s="7" t="inlineStr">
        <is>
          <t>B2 · Straight-arm pulldown — 3 × 12</t>
        </is>
      </c>
      <c r="B11" s="44" t="n"/>
      <c r="C11" s="44" t="n"/>
      <c r="D11" s="44" t="n"/>
      <c r="E11" s="44" t="n"/>
      <c r="F11" s="44" t="n"/>
      <c r="G11" s="44" t="n"/>
      <c r="H11" s="44" t="n"/>
      <c r="I11" s="44" t="n"/>
      <c r="J11" s="44" t="n"/>
      <c r="K11" s="44" t="n"/>
      <c r="L11" s="44" t="n"/>
      <c r="M11" s="44" t="n"/>
      <c r="N11" s="44" t="n"/>
      <c r="O11" s="44" t="n"/>
      <c r="P11" s="44" t="n"/>
    </row>
    <row r="12">
      <c r="A12" s="7" t="inlineStr">
        <is>
          <t>C · Standing calf raise (straight leg) — 3 × 12, 3 s down</t>
        </is>
      </c>
      <c r="B12" s="44" t="n"/>
      <c r="C12" s="44" t="n"/>
      <c r="D12" s="44" t="n"/>
      <c r="E12" s="44" t="n"/>
      <c r="F12" s="44" t="n"/>
      <c r="G12" s="44" t="n"/>
      <c r="H12" s="44" t="n"/>
      <c r="I12" s="44" t="n"/>
      <c r="J12" s="44" t="n"/>
      <c r="K12" s="44" t="n"/>
      <c r="L12" s="44" t="n"/>
      <c r="M12" s="44" t="n"/>
      <c r="N12" s="44" t="n"/>
      <c r="O12" s="44" t="n"/>
      <c r="P12" s="44" t="n"/>
    </row>
    <row r="13">
      <c r="A13" s="7" t="inlineStr">
        <is>
          <t>C · Tibialis raise — 3 × 20</t>
        </is>
      </c>
      <c r="B13" s="44" t="n"/>
      <c r="C13" s="44" t="n"/>
      <c r="D13" s="44" t="n"/>
      <c r="E13" s="44" t="n"/>
      <c r="F13" s="44" t="n"/>
      <c r="G13" s="44" t="n"/>
      <c r="H13" s="44" t="n"/>
      <c r="I13" s="44" t="n"/>
      <c r="J13" s="44" t="n"/>
      <c r="K13" s="44" t="n"/>
      <c r="L13" s="44" t="n"/>
      <c r="M13" s="44" t="n"/>
      <c r="N13" s="44" t="n"/>
      <c r="O13" s="44" t="n"/>
      <c r="P13" s="44" t="n"/>
    </row>
    <row r="14">
      <c r="A14" s="7" t="inlineStr">
        <is>
          <t>C · Pallof press — 3 × 12 per side</t>
        </is>
      </c>
      <c r="B14" s="44" t="n"/>
      <c r="C14" s="44" t="n"/>
      <c r="D14" s="44" t="n"/>
      <c r="E14" s="44" t="n"/>
      <c r="F14" s="44" t="n"/>
      <c r="G14" s="44" t="n"/>
      <c r="H14" s="44" t="n"/>
      <c r="I14" s="44" t="n"/>
      <c r="J14" s="44" t="n"/>
      <c r="K14" s="44" t="n"/>
      <c r="L14" s="44" t="n"/>
      <c r="M14" s="44" t="n"/>
      <c r="N14" s="44" t="n"/>
      <c r="O14" s="44" t="n"/>
      <c r="P14" s="44" t="n"/>
    </row>
    <row r="15">
      <c r="A15" s="7" t="inlineStr">
        <is>
          <t>C · Face pull — 3 × 15</t>
        </is>
      </c>
      <c r="B15" s="44" t="n"/>
      <c r="C15" s="44" t="n"/>
      <c r="D15" s="44" t="n"/>
      <c r="E15" s="44" t="n"/>
      <c r="F15" s="44" t="n"/>
      <c r="G15" s="44" t="n"/>
      <c r="H15" s="44" t="n"/>
      <c r="I15" s="44" t="n"/>
      <c r="J15" s="44" t="n"/>
      <c r="K15" s="44" t="n"/>
      <c r="L15" s="44" t="n"/>
      <c r="M15" s="44" t="n"/>
      <c r="N15" s="44" t="n"/>
      <c r="O15" s="44" t="n"/>
      <c r="P15" s="44" t="n"/>
    </row>
    <row r="18">
      <c r="A18" s="28" t="inlineStr">
        <is>
          <t>Full body B — single-leg + press</t>
        </is>
      </c>
    </row>
    <row r="19">
      <c r="A19" s="2" t="inlineStr">
        <is>
          <t>Quads, single-leg stability, soleus, adductors, chest, rotator cuff.</t>
        </is>
      </c>
    </row>
    <row r="20">
      <c r="A20" s="3" t="inlineStr">
        <is>
          <t>Exercise</t>
        </is>
      </c>
      <c r="B20" s="3" t="inlineStr">
        <is>
          <t>W1</t>
        </is>
      </c>
      <c r="C20" s="3" t="inlineStr">
        <is>
          <t>W2</t>
        </is>
      </c>
      <c r="D20" s="3" t="inlineStr">
        <is>
          <t>W3</t>
        </is>
      </c>
      <c r="E20" s="3" t="inlineStr">
        <is>
          <t>W4</t>
        </is>
      </c>
      <c r="F20" s="3" t="inlineStr">
        <is>
          <t>W5</t>
        </is>
      </c>
      <c r="G20" s="3" t="inlineStr">
        <is>
          <t>W6</t>
        </is>
      </c>
      <c r="H20" s="3" t="inlineStr">
        <is>
          <t>W7</t>
        </is>
      </c>
      <c r="I20" s="3" t="inlineStr">
        <is>
          <t>W8</t>
        </is>
      </c>
      <c r="J20" s="3" t="inlineStr">
        <is>
          <t>W9</t>
        </is>
      </c>
      <c r="K20" s="3" t="inlineStr">
        <is>
          <t>W10</t>
        </is>
      </c>
      <c r="L20" s="3" t="inlineStr">
        <is>
          <t>W11</t>
        </is>
      </c>
      <c r="M20" s="3" t="inlineStr">
        <is>
          <t>W12</t>
        </is>
      </c>
      <c r="N20" s="3" t="inlineStr">
        <is>
          <t>W13</t>
        </is>
      </c>
      <c r="O20" s="3" t="inlineStr">
        <is>
          <t>W14</t>
        </is>
      </c>
      <c r="P20" s="3" t="inlineStr">
        <is>
          <t>W15</t>
        </is>
      </c>
    </row>
    <row r="21">
      <c r="A21" s="7" t="inlineStr">
        <is>
          <t>Warm-up · banded lateral walk 2 × 15 per side, then two ramp-up sets of the first lift</t>
        </is>
      </c>
      <c r="B21" s="44" t="n"/>
      <c r="C21" s="44" t="n"/>
      <c r="D21" s="44" t="n"/>
      <c r="E21" s="44" t="n"/>
      <c r="F21" s="44" t="n"/>
      <c r="G21" s="44" t="n"/>
      <c r="H21" s="44" t="n"/>
      <c r="I21" s="44" t="n"/>
      <c r="J21" s="44" t="n"/>
      <c r="K21" s="44" t="n"/>
      <c r="L21" s="44" t="n"/>
      <c r="M21" s="44" t="n"/>
      <c r="N21" s="44" t="n"/>
      <c r="O21" s="44" t="n"/>
      <c r="P21" s="44" t="n"/>
    </row>
    <row r="22">
      <c r="A22" s="7" t="inlineStr">
        <is>
          <t>A1 · Smith Bulgarian split squat — 4 × 8 per leg, heavier than Full body A</t>
        </is>
      </c>
      <c r="B22" s="44" t="n"/>
      <c r="C22" s="44" t="n"/>
      <c r="D22" s="44" t="n"/>
      <c r="E22" s="44" t="n"/>
      <c r="F22" s="44" t="n"/>
      <c r="G22" s="44" t="n"/>
      <c r="H22" s="44" t="n"/>
      <c r="I22" s="44" t="n"/>
      <c r="J22" s="44" t="n"/>
      <c r="K22" s="44" t="n"/>
      <c r="L22" s="44" t="n"/>
      <c r="M22" s="44" t="n"/>
      <c r="N22" s="44" t="n"/>
      <c r="O22" s="44" t="n"/>
      <c r="P22" s="44" t="n"/>
    </row>
    <row r="23">
      <c r="A23" s="7" t="inlineStr">
        <is>
          <t>A2 · Dumbbell bench press — 4 × 8</t>
        </is>
      </c>
      <c r="B23" s="44" t="n"/>
      <c r="C23" s="44" t="n"/>
      <c r="D23" s="44" t="n"/>
      <c r="E23" s="44" t="n"/>
      <c r="F23" s="44" t="n"/>
      <c r="G23" s="44" t="n"/>
      <c r="H23" s="44" t="n"/>
      <c r="I23" s="44" t="n"/>
      <c r="J23" s="44" t="n"/>
      <c r="K23" s="44" t="n"/>
      <c r="L23" s="44" t="n"/>
      <c r="M23" s="44" t="n"/>
      <c r="N23" s="44" t="n"/>
      <c r="O23" s="44" t="n"/>
      <c r="P23" s="44" t="n"/>
    </row>
    <row r="24">
      <c r="A24" s="7" t="inlineStr">
        <is>
          <t>B1 · Box step-up (18 in) — 3 × 10 per leg</t>
        </is>
      </c>
      <c r="B24" s="44" t="n"/>
      <c r="C24" s="44" t="n"/>
      <c r="D24" s="44" t="n"/>
      <c r="E24" s="44" t="n"/>
      <c r="F24" s="44" t="n"/>
      <c r="G24" s="44" t="n"/>
      <c r="H24" s="44" t="n"/>
      <c r="I24" s="44" t="n"/>
      <c r="J24" s="44" t="n"/>
      <c r="K24" s="44" t="n"/>
      <c r="L24" s="44" t="n"/>
      <c r="M24" s="44" t="n"/>
      <c r="N24" s="44" t="n"/>
      <c r="O24" s="44" t="n"/>
      <c r="P24" s="44" t="n"/>
    </row>
    <row r="25">
      <c r="A25" s="7" t="inlineStr">
        <is>
          <t>B2 · Chest-supported row — 3 × 10</t>
        </is>
      </c>
      <c r="B25" s="44" t="n"/>
      <c r="C25" s="44" t="n"/>
      <c r="D25" s="44" t="n"/>
      <c r="E25" s="44" t="n"/>
      <c r="F25" s="44" t="n"/>
      <c r="G25" s="44" t="n"/>
      <c r="H25" s="44" t="n"/>
      <c r="I25" s="44" t="n"/>
      <c r="J25" s="44" t="n"/>
      <c r="K25" s="44" t="n"/>
      <c r="L25" s="44" t="n"/>
      <c r="M25" s="44" t="n"/>
      <c r="N25" s="44" t="n"/>
      <c r="O25" s="44" t="n"/>
      <c r="P25" s="44" t="n"/>
    </row>
    <row r="26">
      <c r="A26" s="7" t="inlineStr">
        <is>
          <t>C · Seated calf raise (bent knee / soleus) — 4 × 15</t>
        </is>
      </c>
      <c r="B26" s="44" t="n"/>
      <c r="C26" s="44" t="n"/>
      <c r="D26" s="44" t="n"/>
      <c r="E26" s="44" t="n"/>
      <c r="F26" s="44" t="n"/>
      <c r="G26" s="44" t="n"/>
      <c r="H26" s="44" t="n"/>
      <c r="I26" s="44" t="n"/>
      <c r="J26" s="44" t="n"/>
      <c r="K26" s="44" t="n"/>
      <c r="L26" s="44" t="n"/>
      <c r="M26" s="44" t="n"/>
      <c r="N26" s="44" t="n"/>
      <c r="O26" s="44" t="n"/>
      <c r="P26" s="44" t="n"/>
    </row>
    <row r="27">
      <c r="A27" s="7" t="inlineStr">
        <is>
          <t>C · Tibialis raise — 3 × 20</t>
        </is>
      </c>
      <c r="B27" s="44" t="n"/>
      <c r="C27" s="44" t="n"/>
      <c r="D27" s="44" t="n"/>
      <c r="E27" s="44" t="n"/>
      <c r="F27" s="44" t="n"/>
      <c r="G27" s="44" t="n"/>
      <c r="H27" s="44" t="n"/>
      <c r="I27" s="44" t="n"/>
      <c r="J27" s="44" t="n"/>
      <c r="K27" s="44" t="n"/>
      <c r="L27" s="44" t="n"/>
      <c r="M27" s="44" t="n"/>
      <c r="N27" s="44" t="n"/>
      <c r="O27" s="44" t="n"/>
      <c r="P27" s="44" t="n"/>
    </row>
    <row r="28">
      <c r="A28" s="7" t="inlineStr">
        <is>
          <t>C · Copenhagen plank — 3 × 20–30 s per side</t>
        </is>
      </c>
      <c r="B28" s="44" t="n"/>
      <c r="C28" s="44" t="n"/>
      <c r="D28" s="44" t="n"/>
      <c r="E28" s="44" t="n"/>
      <c r="F28" s="44" t="n"/>
      <c r="G28" s="44" t="n"/>
      <c r="H28" s="44" t="n"/>
      <c r="I28" s="44" t="n"/>
      <c r="J28" s="44" t="n"/>
      <c r="K28" s="44" t="n"/>
      <c r="L28" s="44" t="n"/>
      <c r="M28" s="44" t="n"/>
      <c r="N28" s="44" t="n"/>
      <c r="O28" s="44" t="n"/>
      <c r="P28" s="44" t="n"/>
    </row>
    <row r="29">
      <c r="A29" s="7" t="inlineStr">
        <is>
          <t>C · Cable or band external rotation — 3 × 15 per side</t>
        </is>
      </c>
      <c r="B29" s="44" t="n"/>
      <c r="C29" s="44" t="n"/>
      <c r="D29" s="44" t="n"/>
      <c r="E29" s="44" t="n"/>
      <c r="F29" s="44" t="n"/>
      <c r="G29" s="44" t="n"/>
      <c r="H29" s="44" t="n"/>
      <c r="I29" s="44" t="n"/>
      <c r="J29" s="44" t="n"/>
      <c r="K29" s="44" t="n"/>
      <c r="L29" s="44" t="n"/>
      <c r="M29" s="44" t="n"/>
      <c r="N29" s="44" t="n"/>
      <c r="O29" s="44" t="n"/>
      <c r="P29" s="44" t="n"/>
    </row>
    <row r="32">
      <c r="A32" s="28" t="inlineStr">
        <is>
          <t>Bands + bodyweight circuit</t>
        </is>
      </c>
    </row>
    <row r="33">
      <c r="A33" s="2" t="inlineStr">
        <is>
          <t>Full body with no barbell and no machines.</t>
        </is>
      </c>
    </row>
    <row r="34">
      <c r="A34" s="3" t="inlineStr">
        <is>
          <t>Exercise</t>
        </is>
      </c>
      <c r="B34" s="3" t="inlineStr">
        <is>
          <t>W1</t>
        </is>
      </c>
      <c r="C34" s="3" t="inlineStr">
        <is>
          <t>W2</t>
        </is>
      </c>
      <c r="D34" s="3" t="inlineStr">
        <is>
          <t>W3</t>
        </is>
      </c>
      <c r="E34" s="3" t="inlineStr">
        <is>
          <t>W4</t>
        </is>
      </c>
      <c r="F34" s="3" t="inlineStr">
        <is>
          <t>W5</t>
        </is>
      </c>
      <c r="G34" s="3" t="inlineStr">
        <is>
          <t>W6</t>
        </is>
      </c>
      <c r="H34" s="3" t="inlineStr">
        <is>
          <t>W7</t>
        </is>
      </c>
      <c r="I34" s="3" t="inlineStr">
        <is>
          <t>W8</t>
        </is>
      </c>
      <c r="J34" s="3" t="inlineStr">
        <is>
          <t>W9</t>
        </is>
      </c>
      <c r="K34" s="3" t="inlineStr">
        <is>
          <t>W10</t>
        </is>
      </c>
      <c r="L34" s="3" t="inlineStr">
        <is>
          <t>W11</t>
        </is>
      </c>
      <c r="M34" s="3" t="inlineStr">
        <is>
          <t>W12</t>
        </is>
      </c>
      <c r="N34" s="3" t="inlineStr">
        <is>
          <t>W13</t>
        </is>
      </c>
      <c r="O34" s="3" t="inlineStr">
        <is>
          <t>W14</t>
        </is>
      </c>
      <c r="P34" s="3" t="inlineStr">
        <is>
          <t>W15</t>
        </is>
      </c>
    </row>
    <row r="35">
      <c r="A35" s="7" t="inlineStr">
        <is>
          <t>Banded Romanian deadlift — 3 × 15</t>
        </is>
      </c>
      <c r="B35" s="44" t="n"/>
      <c r="C35" s="44" t="n"/>
      <c r="D35" s="44" t="n"/>
      <c r="E35" s="44" t="n"/>
      <c r="F35" s="44" t="n"/>
      <c r="G35" s="44" t="n"/>
      <c r="H35" s="44" t="n"/>
      <c r="I35" s="44" t="n"/>
      <c r="J35" s="44" t="n"/>
      <c r="K35" s="44" t="n"/>
      <c r="L35" s="44" t="n"/>
      <c r="M35" s="44" t="n"/>
      <c r="N35" s="44" t="n"/>
      <c r="O35" s="44" t="n"/>
      <c r="P35" s="44" t="n"/>
    </row>
    <row r="36">
      <c r="A36" s="7" t="inlineStr">
        <is>
          <t>Split squat — 3 × 12 per leg</t>
        </is>
      </c>
      <c r="B36" s="44" t="n"/>
      <c r="C36" s="44" t="n"/>
      <c r="D36" s="44" t="n"/>
      <c r="E36" s="44" t="n"/>
      <c r="F36" s="44" t="n"/>
      <c r="G36" s="44" t="n"/>
      <c r="H36" s="44" t="n"/>
      <c r="I36" s="44" t="n"/>
      <c r="J36" s="44" t="n"/>
      <c r="K36" s="44" t="n"/>
      <c r="L36" s="44" t="n"/>
      <c r="M36" s="44" t="n"/>
      <c r="N36" s="44" t="n"/>
      <c r="O36" s="44" t="n"/>
      <c r="P36" s="44" t="n"/>
    </row>
    <row r="37">
      <c r="A37" s="7" t="inlineStr">
        <is>
          <t>Single-leg calf raise — 3 × 15 per leg</t>
        </is>
      </c>
      <c r="B37" s="44" t="n"/>
      <c r="C37" s="44" t="n"/>
      <c r="D37" s="44" t="n"/>
      <c r="E37" s="44" t="n"/>
      <c r="F37" s="44" t="n"/>
      <c r="G37" s="44" t="n"/>
      <c r="H37" s="44" t="n"/>
      <c r="I37" s="44" t="n"/>
      <c r="J37" s="44" t="n"/>
      <c r="K37" s="44" t="n"/>
      <c r="L37" s="44" t="n"/>
      <c r="M37" s="44" t="n"/>
      <c r="N37" s="44" t="n"/>
      <c r="O37" s="44" t="n"/>
      <c r="P37" s="44" t="n"/>
    </row>
    <row r="38">
      <c r="A38" s="7" t="inlineStr">
        <is>
          <t>Tibialis raise — 3 × 20</t>
        </is>
      </c>
      <c r="B38" s="44" t="n"/>
      <c r="C38" s="44" t="n"/>
      <c r="D38" s="44" t="n"/>
      <c r="E38" s="44" t="n"/>
      <c r="F38" s="44" t="n"/>
      <c r="G38" s="44" t="n"/>
      <c r="H38" s="44" t="n"/>
      <c r="I38" s="44" t="n"/>
      <c r="J38" s="44" t="n"/>
      <c r="K38" s="44" t="n"/>
      <c r="L38" s="44" t="n"/>
      <c r="M38" s="44" t="n"/>
      <c r="N38" s="44" t="n"/>
      <c r="O38" s="44" t="n"/>
      <c r="P38" s="44" t="n"/>
    </row>
    <row r="39">
      <c r="A39" s="7" t="inlineStr">
        <is>
          <t>Band row — 3 × 15</t>
        </is>
      </c>
      <c r="B39" s="44" t="n"/>
      <c r="C39" s="44" t="n"/>
      <c r="D39" s="44" t="n"/>
      <c r="E39" s="44" t="n"/>
      <c r="F39" s="44" t="n"/>
      <c r="G39" s="44" t="n"/>
      <c r="H39" s="44" t="n"/>
      <c r="I39" s="44" t="n"/>
      <c r="J39" s="44" t="n"/>
      <c r="K39" s="44" t="n"/>
      <c r="L39" s="44" t="n"/>
      <c r="M39" s="44" t="n"/>
      <c r="N39" s="44" t="n"/>
      <c r="O39" s="44" t="n"/>
      <c r="P39" s="44" t="n"/>
    </row>
    <row r="40">
      <c r="A40" s="7" t="inlineStr">
        <is>
          <t>Push-up — 3 × 12</t>
        </is>
      </c>
      <c r="B40" s="44" t="n"/>
      <c r="C40" s="44" t="n"/>
      <c r="D40" s="44" t="n"/>
      <c r="E40" s="44" t="n"/>
      <c r="F40" s="44" t="n"/>
      <c r="G40" s="44" t="n"/>
      <c r="H40" s="44" t="n"/>
      <c r="I40" s="44" t="n"/>
      <c r="J40" s="44" t="n"/>
      <c r="K40" s="44" t="n"/>
      <c r="L40" s="44" t="n"/>
      <c r="M40" s="44" t="n"/>
      <c r="N40" s="44" t="n"/>
      <c r="O40" s="44" t="n"/>
      <c r="P40" s="44" t="n"/>
    </row>
    <row r="41">
      <c r="A41" s="7" t="inlineStr">
        <is>
          <t>Side plank with hip abduction — 3 × 10 per side</t>
        </is>
      </c>
      <c r="B41" s="44" t="n"/>
      <c r="C41" s="44" t="n"/>
      <c r="D41" s="44" t="n"/>
      <c r="E41" s="44" t="n"/>
      <c r="F41" s="44" t="n"/>
      <c r="G41" s="44" t="n"/>
      <c r="H41" s="44" t="n"/>
      <c r="I41" s="44" t="n"/>
      <c r="J41" s="44" t="n"/>
      <c r="K41" s="44" t="n"/>
      <c r="L41" s="44" t="n"/>
      <c r="M41" s="44" t="n"/>
      <c r="N41" s="44" t="n"/>
      <c r="O41" s="44" t="n"/>
      <c r="P41" s="44"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22" customWidth="1" min="1" max="1"/>
    <col width="26" customWidth="1" min="2" max="2"/>
    <col width="86" customWidth="1" min="3" max="3"/>
    <col width="20" customWidth="1" min="4" max="4"/>
    <col width="20" customWidth="1" min="5" max="5"/>
  </cols>
  <sheetData>
    <row r="1">
      <c r="A1" s="1" t="inlineStr">
        <is>
          <t>Reference</t>
        </is>
      </c>
    </row>
    <row r="2">
      <c r="A2" s="2" t="inlineStr">
        <is>
          <t>Phases, heart-rate zones, and what the block is for.</t>
        </is>
      </c>
    </row>
    <row r="4">
      <c r="A4" s="28" t="inlineStr">
        <is>
          <t>Phases</t>
        </is>
      </c>
    </row>
    <row r="5">
      <c r="A5" s="3" t="inlineStr">
        <is>
          <t>Dates</t>
        </is>
      </c>
      <c r="B5" s="3" t="inlineStr">
        <is>
          <t>Phase</t>
        </is>
      </c>
      <c r="C5" s="3" t="inlineStr">
        <is>
          <t>What it is for</t>
        </is>
      </c>
    </row>
    <row r="6">
      <c r="A6" s="5" t="inlineStr">
        <is>
          <t>Sep 21 – Oct 11</t>
        </is>
      </c>
      <c r="B6" s="5" t="inlineStr">
        <is>
          <t>Reset + measure</t>
        </is>
      </c>
      <c r="C6" s="7" t="inlineStr">
        <is>
          <t>Establish the 4-swim week and the send-off habit. Test CSS and FTP so the rest of the block has real numbers. Running stays at one run per week until the orthotics land — this is the non-negotiable part.</t>
        </is>
      </c>
    </row>
    <row r="7">
      <c r="A7" s="5" t="inlineStr">
        <is>
          <t>Oct 12 – Nov 8</t>
        </is>
      </c>
      <c r="B7" s="5" t="inlineStr">
        <is>
          <t>Build I — swim volume, run ramp</t>
        </is>
      </c>
      <c r="C7" s="7" t="inlineStr">
        <is>
          <t>Orthotics in: running goes to two, then three sessions a week at roughly +10%/wk. Swim threshold volume climbs. The New York trip (Oct 25 – Nov 3) runs as a travel block: two swims at the Chinatown YMCA hold the 6,000 yd floor, band circuits stand in for the lifts, and swims are back-loaded after the return.</t>
        </is>
      </c>
    </row>
    <row r="8">
      <c r="A8" s="5" t="inlineStr">
        <is>
          <t>Nov 9 – Dec 6</t>
        </is>
      </c>
      <c r="B8" s="5" t="inlineStr">
        <is>
          <t>Build II — peak swim, race specificity</t>
        </is>
      </c>
      <c r="C8" s="7" t="inlineStr">
        <is>
          <t>Highest swim volume of the block and the retest of CSS. Running adds short 5-mile-pace work, peaks with a 10 km long run, then takes a short run-only taper into the Dec 5 race. Swimming does not taper.</t>
        </is>
      </c>
    </row>
    <row r="9">
      <c r="A9" s="5" t="inlineStr">
        <is>
          <t>Dec 7 – Dec 20</t>
        </is>
      </c>
      <c r="B9" s="5" t="inlineStr">
        <is>
          <t>Travel maintenance</t>
        </is>
      </c>
      <c r="C9" s="7" t="inlineStr">
        <is>
          <t>Florida and North Carolina. Swims are front-loaded in Seattle Mon–Wed to protect the 6,000 yd streak, then the trip is run- and bodyweight-led until the North Carolina gym restores a normal week.</t>
        </is>
      </c>
    </row>
    <row r="10">
      <c r="A10" s="5" t="inlineStr">
        <is>
          <t>Dec 21 – Dec 31</t>
        </is>
      </c>
      <c r="B10" s="5" t="inlineStr">
        <is>
          <t>Winter base → January on-ramp</t>
        </is>
      </c>
      <c r="C10" s="7" t="inlineStr">
        <is>
          <t>Edmonton with full gym access. Rebuild the rhythm, close the block with a final CSS test, and hand a clean aerobic base to the Victoria 70.3 build.</t>
        </is>
      </c>
    </row>
    <row r="12">
      <c r="A12" s="28" t="inlineStr">
        <is>
          <t>Heart-rate zones</t>
        </is>
      </c>
    </row>
    <row r="13">
      <c r="A13" s="3" t="inlineStr">
        <is>
          <t>Zone</t>
        </is>
      </c>
      <c r="B13" s="3" t="inlineStr">
        <is>
          <t>Range</t>
        </is>
      </c>
      <c r="C13" s="3" t="inlineStr">
        <is>
          <t>Use</t>
        </is>
      </c>
    </row>
    <row r="14">
      <c r="A14" s="5" t="inlineStr">
        <is>
          <t>Run — easy</t>
        </is>
      </c>
      <c r="B14" s="5" t="inlineStr">
        <is>
          <t>140–152 bpm</t>
        </is>
      </c>
      <c r="C14" s="7" t="inlineStr">
        <is>
          <t>Every easy run lives here. If it drifts above, walk it back.</t>
        </is>
      </c>
    </row>
    <row r="15">
      <c r="A15" s="5" t="inlineStr">
        <is>
          <t>Run — steady / tempo</t>
        </is>
      </c>
      <c r="B15" s="5" t="inlineStr">
        <is>
          <t>158–168 bpm</t>
        </is>
      </c>
      <c r="C15" s="7" t="inlineStr">
        <is>
          <t>Thursday quality only, and never for long early in the block.</t>
        </is>
      </c>
    </row>
    <row r="16">
      <c r="A16" s="5" t="inlineStr">
        <is>
          <t>Bike — Z2 endurance</t>
        </is>
      </c>
      <c r="B16" s="5" t="inlineStr">
        <is>
          <t>130–145 bpm</t>
        </is>
      </c>
      <c r="C16" s="7" t="inlineStr">
        <is>
          <t>Matches the Sep 17 outdoor ride (136 bpm avg). The Sep 23 spin ran 140–150, a touch hot — aim for the middle of the band, not the top.</t>
        </is>
      </c>
    </row>
    <row r="17">
      <c r="A17" s="5" t="inlineStr">
        <is>
          <t>Bike — threshold</t>
        </is>
      </c>
      <c r="B17" s="5" t="inlineStr">
        <is>
          <t>155–165 bpm</t>
        </is>
      </c>
      <c r="C17" s="7" t="inlineStr">
        <is>
          <t>Spin-bike intervals. Now paired with watts — see the FTP test log. Where the two disagree, trust the watts: power is what you did, heart rate is how you felt about it.</t>
        </is>
      </c>
    </row>
    <row r="19">
      <c r="A19" s="28" t="inlineStr">
        <is>
          <t>Block at a glance</t>
        </is>
      </c>
    </row>
    <row r="20">
      <c r="A20" s="3" t="inlineStr">
        <is>
          <t>Metric</t>
        </is>
      </c>
      <c r="B20" s="3" t="inlineStr">
        <is>
          <t>Value</t>
        </is>
      </c>
    </row>
    <row r="21">
      <c r="A21" s="7" t="inlineStr">
        <is>
          <t>Block focus</t>
        </is>
      </c>
      <c r="B21" s="5" t="inlineStr">
        <is>
          <t>Swim engine</t>
        </is>
      </c>
    </row>
    <row r="22">
      <c r="A22" s="7" t="inlineStr">
        <is>
          <t>Race</t>
        </is>
      </c>
      <c r="B22" s="5" t="inlineStr">
        <is>
          <t>5 mile</t>
        </is>
      </c>
    </row>
    <row r="23">
      <c r="A23" s="7" t="inlineStr">
        <is>
          <t>Lower-leg rule</t>
        </is>
      </c>
      <c r="B23" s="5" t="inlineStr">
        <is>
          <t>1 run/wk</t>
        </is>
      </c>
    </row>
    <row r="24">
      <c r="A24" s="7" t="inlineStr">
        <is>
          <t>Next block</t>
        </is>
      </c>
      <c r="B24" s="5" t="inlineStr">
        <is>
          <t>70.3 prep</t>
        </is>
      </c>
    </row>
    <row r="26">
      <c r="A26" s="28" t="inlineStr">
        <is>
          <t>Where things live</t>
        </is>
      </c>
    </row>
    <row r="27">
      <c r="A27" s="3" t="inlineStr">
        <is>
          <t>Sheet</t>
        </is>
      </c>
      <c r="B27" s="3" t="inlineStr">
        <is>
          <t>What is on it</t>
        </is>
      </c>
    </row>
    <row r="28">
      <c r="A28" s="5" t="inlineStr">
        <is>
          <t>Log</t>
        </is>
      </c>
      <c r="B28" s="7" t="inlineStr">
        <is>
          <t>Every session in the block. Tick Done, enter actuals, leave a note.</t>
        </is>
      </c>
    </row>
    <row r="29">
      <c r="A29" s="5" t="inlineStr">
        <is>
          <t>Week Summary</t>
        </is>
      </c>
      <c r="B29" s="7" t="inlineStr">
        <is>
          <t>Rolls the log up by week — swim yards, run km, bike hours, sessions done.</t>
        </is>
      </c>
    </row>
    <row r="30">
      <c r="A30" s="5" t="inlineStr">
        <is>
          <t>Swim</t>
        </is>
      </c>
      <c r="B30" s="7" t="inlineStr">
        <is>
          <t>CSS test log and retest target, pace zones, send-offs, drill phases, pre-swim checklist.</t>
        </is>
      </c>
    </row>
    <row r="31">
      <c r="A31" s="5" t="inlineStr">
        <is>
          <t>Drills</t>
        </is>
      </c>
      <c r="B31" s="7" t="inlineStr">
        <is>
          <t>The drill library — gear, what you do, what to feel, what to watch for, and why.</t>
        </is>
      </c>
    </row>
    <row r="32">
      <c r="A32" s="5" t="inlineStr">
        <is>
          <t>Bike</t>
        </is>
      </c>
      <c r="B32" s="7" t="inlineStr">
        <is>
          <t>FTP test log, live power zones, retest target, and the 70.3 power gap.</t>
        </is>
      </c>
    </row>
    <row r="33">
      <c r="A33" s="5" t="inlineStr">
        <is>
          <t>Run</t>
        </is>
      </c>
      <c r="B33" s="7" t="inlineStr">
        <is>
          <t>The run ramp and its rules.</t>
        </is>
      </c>
    </row>
    <row r="34">
      <c r="A34" s="5" t="inlineStr">
        <is>
          <t>Strength</t>
        </is>
      </c>
      <c r="B34" s="7" t="inlineStr">
        <is>
          <t>The lifting sessions, set by set.</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2026-10-21T16:02:39Z</dcterms:created>
  <dcterms:modified xmlns:dcterms="http://purl.org/dc/terms/" xmlns:xsi="http://www.w3.org/2001/XMLSchema-instance" xsi:type="dcterms:W3CDTF">2026-10-21T16:02:39Z</dcterms:modified>
</cp:coreProperties>
</file>