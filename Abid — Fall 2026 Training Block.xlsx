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g" sheetId="1" state="visible" r:id="rId1"/>
    <sheet xmlns:r="http://schemas.openxmlformats.org/officeDocument/2006/relationships" name="Week Summary" sheetId="2" state="visible" r:id="rId2"/>
    <sheet xmlns:r="http://schemas.openxmlformats.org/officeDocument/2006/relationships" name="Swim" sheetId="3" state="visible" r:id="rId3"/>
    <sheet xmlns:r="http://schemas.openxmlformats.org/officeDocument/2006/relationships" name="Run" sheetId="4" state="visible" r:id="rId4"/>
    <sheet xmlns:r="http://schemas.openxmlformats.org/officeDocument/2006/relationships" name="Strength" sheetId="5" state="visible" r:id="rId5"/>
    <sheet xmlns:r="http://schemas.openxmlformats.org/officeDocument/2006/relationships" name="Reference" sheetId="6" state="visible" r:id="rId6"/>
  </sheets>
  <definedNames>
    <definedName name="_xlnm._FilterDatabase" localSheetId="0" hidden="1">'Log'!$A$4:$P$195</definedName>
  </definedNames>
  <calcPr calcId="124519" fullCalcOnLoad="1"/>
</workbook>
</file>

<file path=xl/styles.xml><?xml version="1.0" encoding="utf-8"?>
<styleSheet xmlns="http://schemas.openxmlformats.org/spreadsheetml/2006/main">
  <numFmts count="8">
    <numFmt numFmtId="164" formatCode="yyyy-mm-dd"/>
    <numFmt numFmtId="165" formatCode="#,##0;-;-"/>
    <numFmt numFmtId="166" formatCode="0.0;-;-"/>
    <numFmt numFmtId="167" formatCode="#,##0;(#,##0);-"/>
    <numFmt numFmtId="168" formatCode="0.0;(0.0);-"/>
    <numFmt numFmtId="169" formatCode="0.0%"/>
    <numFmt numFmtId="170" formatCode="0.0"/>
    <numFmt numFmtId="171" formatCode="0.0&quot; km&quot;;-;-"/>
  </numFmts>
  <fonts count="8">
    <font>
      <name val="Calibri"/>
      <family val="2"/>
      <color theme="1"/>
      <sz val="11"/>
      <scheme val="minor"/>
    </font>
    <font>
      <name val="Arial"/>
      <b val="1"/>
      <color rgb="001F3A2E"/>
      <sz val="14"/>
    </font>
    <font>
      <name val="Arial"/>
      <i val="1"/>
      <color rgb="005A6B60"/>
      <sz val="9"/>
    </font>
    <font>
      <name val="Arial"/>
      <b val="1"/>
      <color rgb="00FFFFFF"/>
      <sz val="10"/>
    </font>
    <font>
      <name val="Arial"/>
      <color rgb="00000000"/>
      <sz val="10"/>
    </font>
    <font>
      <name val="Arial"/>
      <color rgb="000000FF"/>
      <sz val="10"/>
    </font>
    <font>
      <name val="Arial"/>
      <color rgb="00008000"/>
      <sz val="10"/>
    </font>
    <font>
      <name val="Arial"/>
      <b val="1"/>
      <color rgb="001F3A2E"/>
      <sz val="10"/>
    </font>
  </fonts>
  <fills count="12">
    <fill>
      <patternFill/>
    </fill>
    <fill>
      <patternFill patternType="gray125"/>
    </fill>
    <fill>
      <patternFill patternType="solid">
        <fgColor rgb="002F6B4F"/>
      </patternFill>
    </fill>
    <fill>
      <patternFill patternType="solid">
        <fgColor rgb="00DCEBF7"/>
      </patternFill>
    </fill>
    <fill>
      <patternFill patternType="solid">
        <fgColor rgb="00FFFDF0"/>
      </patternFill>
    </fill>
    <fill>
      <patternFill patternType="solid">
        <fgColor rgb="00FBEBD6"/>
      </patternFill>
    </fill>
    <fill>
      <patternFill patternType="solid">
        <fgColor rgb="00F7DEDC"/>
      </patternFill>
    </fill>
    <fill>
      <patternFill patternType="solid">
        <fgColor rgb="00E3EFE6"/>
      </patternFill>
    </fill>
    <fill>
      <patternFill patternType="solid">
        <fgColor rgb="00E6E0F2"/>
      </patternFill>
    </fill>
    <fill>
      <patternFill patternType="solid">
        <fgColor rgb="00EDE6DA"/>
      </patternFill>
    </fill>
    <fill>
      <patternFill patternType="solid">
        <fgColor rgb="00E4EDE7"/>
      </patternFill>
    </fill>
    <fill>
      <patternFill patternType="solid">
        <fgColor rgb="00FFFF00"/>
      </patternFill>
    </fill>
  </fills>
  <borders count="2">
    <border>
      <left/>
      <right/>
      <top/>
      <bottom/>
      <diagonal/>
    </border>
    <border>
      <left style="thin">
        <color rgb="00C9D6CD"/>
      </left>
      <right style="thin">
        <color rgb="00C9D6CD"/>
      </right>
      <top style="thin">
        <color rgb="00C9D6CD"/>
      </top>
      <bottom style="thin">
        <color rgb="00C9D6CD"/>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164" fontId="4" fillId="0" borderId="1" applyAlignment="1" pivotButton="0" quotePrefix="0" xfId="0">
      <alignment vertical="top"/>
    </xf>
    <xf numFmtId="0" fontId="4" fillId="0" borderId="1" applyAlignment="1" pivotButton="0" quotePrefix="0" xfId="0">
      <alignment vertical="top"/>
    </xf>
    <xf numFmtId="0" fontId="4" fillId="3"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166" fontId="4" fillId="0" borderId="1" applyAlignment="1" pivotButton="0" quotePrefix="0" xfId="0">
      <alignment vertical="top"/>
    </xf>
    <xf numFmtId="0" fontId="5" fillId="4" borderId="1" applyAlignment="1" pivotButton="0" quotePrefix="0" xfId="0">
      <alignment vertical="top"/>
    </xf>
    <xf numFmtId="165" fontId="5" fillId="4" borderId="1" applyAlignment="1" pivotButton="0" quotePrefix="0" xfId="0">
      <alignment vertical="top"/>
    </xf>
    <xf numFmtId="166" fontId="5" fillId="4" borderId="1" applyAlignment="1" pivotButton="0" quotePrefix="0" xfId="0">
      <alignment vertical="top"/>
    </xf>
    <xf numFmtId="0" fontId="5" fillId="4" borderId="1" applyAlignment="1" pivotButton="0" quotePrefix="0" xfId="0">
      <alignment vertical="top" wrapText="1"/>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167" fontId="6" fillId="0" borderId="1" applyAlignment="1" pivotButton="0" quotePrefix="0" xfId="0">
      <alignment vertical="top"/>
    </xf>
    <xf numFmtId="167" fontId="4" fillId="0" borderId="1" applyAlignment="1" pivotButton="0" quotePrefix="0" xfId="0">
      <alignment vertical="top"/>
    </xf>
    <xf numFmtId="168" fontId="6" fillId="0" borderId="1" applyAlignment="1" pivotButton="0" quotePrefix="0" xfId="0">
      <alignment vertical="top"/>
    </xf>
    <xf numFmtId="168" fontId="4" fillId="0" borderId="1" applyAlignment="1" pivotButton="0" quotePrefix="0" xfId="0">
      <alignment vertical="top"/>
    </xf>
    <xf numFmtId="0" fontId="6" fillId="0" borderId="1" applyAlignment="1" pivotButton="0" quotePrefix="0" xfId="0">
      <alignment vertical="top"/>
    </xf>
    <xf numFmtId="169" fontId="4" fillId="0" borderId="1" applyAlignment="1" pivotButton="0" quotePrefix="0" xfId="0">
      <alignment vertical="top"/>
    </xf>
    <xf numFmtId="0" fontId="7" fillId="10" borderId="1" pivotButton="0" quotePrefix="0" xfId="0"/>
    <xf numFmtId="0" fontId="0" fillId="10" borderId="1" pivotButton="0" quotePrefix="0" xfId="0"/>
    <xf numFmtId="167" fontId="7" fillId="10" borderId="1" pivotButton="0" quotePrefix="0" xfId="0"/>
    <xf numFmtId="168" fontId="7" fillId="10" borderId="1" pivotButton="0" quotePrefix="0" xfId="0"/>
    <xf numFmtId="169" fontId="7" fillId="10" borderId="1" pivotButton="0" quotePrefix="0" xfId="0"/>
    <xf numFmtId="0" fontId="7" fillId="0" borderId="0" pivotButton="0" quotePrefix="0" xfId="0"/>
    <xf numFmtId="0" fontId="5" fillId="0" borderId="1" pivotButton="0" quotePrefix="0" xfId="0"/>
    <xf numFmtId="45" fontId="5" fillId="11" borderId="1" pivotButton="0" quotePrefix="0" xfId="0"/>
    <xf numFmtId="170" fontId="4" fillId="0" borderId="1" pivotButton="0" quotePrefix="0" xfId="0"/>
    <xf numFmtId="0" fontId="4" fillId="0" borderId="1" pivotButton="0" quotePrefix="0" xfId="0"/>
    <xf numFmtId="0" fontId="5" fillId="11" borderId="1" pivotButton="0" quotePrefix="0" xfId="0"/>
    <xf numFmtId="171" fontId="6" fillId="0" borderId="1" applyAlignment="1" pivotButton="0" quotePrefix="0" xfId="0">
      <alignment vertical="top"/>
    </xf>
    <xf numFmtId="0" fontId="5" fillId="4" borderId="1" pivotButton="0" quotePrefix="0" xfId="0"/>
  </cellXfs>
  <cellStyles count="1">
    <cellStyle name="Normal" xfId="0" builtinId="0" hidden="0"/>
  </cellStyles>
  <dxfs count="3">
    <dxf>
      <fill>
        <patternFill patternType="solid">
          <fgColor rgb="00EAF5EC"/>
        </patternFill>
      </fill>
    </dxf>
    <dxf>
      <fill>
        <patternFill patternType="solid">
          <fgColor rgb="00F7D6D3"/>
        </patternFill>
      </fill>
    </dxf>
    <dxf>
      <fill>
        <patternFill patternType="solid">
          <fgColor rgb="00D6ED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9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4" customWidth="1" min="3" max="3"/>
    <col width="10" customWidth="1" min="4" max="4"/>
    <col width="10" customWidth="1" min="5" max="5"/>
    <col width="34" customWidth="1" min="6" max="6"/>
    <col width="20" customWidth="1" min="7" max="7"/>
    <col width="8" customWidth="1" min="8" max="8"/>
    <col width="7" customWidth="1" min="9" max="9"/>
    <col width="7" customWidth="1" min="10" max="10"/>
    <col width="8" customWidth="1" min="11" max="11"/>
    <col width="7" customWidth="1" min="12" max="12"/>
    <col width="7" customWidth="1" min="13" max="13"/>
    <col width="5" customWidth="1" min="14" max="14"/>
    <col width="30" customWidth="1" min="15" max="15"/>
    <col width="62" customWidth="1" min="16" max="16"/>
  </cols>
  <sheetData>
    <row r="1">
      <c r="A1" s="1" t="inlineStr">
        <is>
          <t>Fall 2026 base block — daily log</t>
        </is>
      </c>
    </row>
    <row r="2">
      <c r="A2" s="2" t="inlineStr">
        <is>
          <t>Blue = type here. Black = formula. Only edit the Done / Actual / RPE / How it felt columns.</t>
        </is>
      </c>
    </row>
    <row r="4" ht="28" customHeight="1">
      <c r="A4" s="3" t="inlineStr">
        <is>
          <t>Date</t>
        </is>
      </c>
      <c r="B4" s="3" t="inlineStr">
        <is>
          <t>Day</t>
        </is>
      </c>
      <c r="C4" s="3" t="inlineStr">
        <is>
          <t>Wk</t>
        </is>
      </c>
      <c r="D4" s="3" t="inlineStr">
        <is>
          <t>Phase</t>
        </is>
      </c>
      <c r="E4" s="3" t="inlineStr">
        <is>
          <t>Category</t>
        </is>
      </c>
      <c r="F4" s="3" t="inlineStr">
        <is>
          <t>Session</t>
        </is>
      </c>
      <c r="G4" s="3" t="inlineStr">
        <is>
          <t>Planned</t>
        </is>
      </c>
      <c r="H4" s="3" t="inlineStr">
        <is>
          <t>Plan yd</t>
        </is>
      </c>
      <c r="I4" s="3" t="inlineStr">
        <is>
          <t>Plan km</t>
        </is>
      </c>
      <c r="J4" s="3" t="inlineStr">
        <is>
          <t>Done</t>
        </is>
      </c>
      <c r="K4" s="3" t="inlineStr">
        <is>
          <t>Act yd</t>
        </is>
      </c>
      <c r="L4" s="3" t="inlineStr">
        <is>
          <t>Act km</t>
        </is>
      </c>
      <c r="M4" s="3" t="inlineStr">
        <is>
          <t>Act min</t>
        </is>
      </c>
      <c r="N4" s="3" t="inlineStr">
        <is>
          <t>RPE</t>
        </is>
      </c>
      <c r="O4" s="3" t="inlineStr">
        <is>
          <t>How it felt</t>
        </is>
      </c>
      <c r="P4" s="3" t="inlineStr">
        <is>
          <t>What the session is</t>
        </is>
      </c>
    </row>
    <row r="5">
      <c r="A5" s="4" t="inlineStr">
        <is>
          <t>2026-09-21</t>
        </is>
      </c>
      <c r="B5" s="5" t="inlineStr">
        <is>
          <t>Mon</t>
        </is>
      </c>
      <c r="C5" s="5" t="n">
        <v>1</v>
      </c>
      <c r="D5" s="5" t="inlineStr">
        <is>
          <t>reset</t>
        </is>
      </c>
      <c r="E5" s="6" t="inlineStr">
        <is>
          <t>swim</t>
        </is>
      </c>
      <c r="F5" s="7" t="inlineStr">
        <is>
          <t>Swim — CSS test (400 + 200 TT)</t>
        </is>
      </c>
      <c r="G5" s="5" t="inlineStr">
        <is>
          <t>2,000 yd · 44–59 min</t>
        </is>
      </c>
      <c r="H5" s="8" t="n">
        <v>2000</v>
      </c>
      <c r="I5" s="9" t="n"/>
      <c r="J5" s="10" t="n"/>
      <c r="K5" s="11" t="n"/>
      <c r="L5" s="12" t="n"/>
      <c r="M5" s="10" t="n"/>
      <c r="N5" s="10" t="n"/>
      <c r="O5" s="13" t="n"/>
      <c r="P5" s="7" t="inlineStr">
        <is>
          <t>Warm-up 400 (200 free, 4 × 50 drill). Build 4 × 50. Main: 400 yd all-out for time, 5 min full rest, then 200 yd all-out for time. Cool-down 300 easy. CSS seconds per 100 yd = (T400 − T200) ÷ 2. Write both times down — every send-off in this block comes from this number.</t>
        </is>
      </c>
    </row>
    <row r="6">
      <c r="A6" s="4" t="inlineStr">
        <is>
          <t>2026-09-21</t>
        </is>
      </c>
      <c r="B6" s="5" t="inlineStr">
        <is>
          <t>Mon</t>
        </is>
      </c>
      <c r="C6" s="5" t="n">
        <v>1</v>
      </c>
      <c r="D6" s="5" t="inlineStr">
        <is>
          <t>reset</t>
        </is>
      </c>
      <c r="E6" s="14" t="inlineStr">
        <is>
          <t>strength</t>
        </is>
      </c>
      <c r="F6" s="7" t="inlineStr">
        <is>
          <t>Strength A — RDL + posterior chain</t>
        </is>
      </c>
      <c r="G6" s="5" t="inlineStr">
        <is>
          <t>45–55 min</t>
        </is>
      </c>
      <c r="H6" s="8" t="n"/>
      <c r="I6" s="9" t="n"/>
      <c r="J6" s="10" t="n"/>
      <c r="K6" s="11" t="n"/>
      <c r="L6" s="12" t="n"/>
      <c r="M6" s="10" t="n"/>
      <c r="N6" s="10" t="n"/>
      <c r="O6" s="13" t="n"/>
      <c r="P6" s="7" t="inlineStr">
        <is>
          <t>First session back. Leave two reps in reserve on everything — this is a re-entry week, not a test.</t>
        </is>
      </c>
    </row>
    <row r="7">
      <c r="A7" s="4" t="inlineStr">
        <is>
          <t>2026-09-22</t>
        </is>
      </c>
      <c r="B7" s="5" t="inlineStr">
        <is>
          <t>Tue</t>
        </is>
      </c>
      <c r="C7" s="5" t="n">
        <v>1</v>
      </c>
      <c r="D7" s="5" t="inlineStr">
        <is>
          <t>reset</t>
        </is>
      </c>
      <c r="E7" s="15" t="inlineStr">
        <is>
          <t>run</t>
        </is>
      </c>
      <c r="F7" s="7" t="inlineStr">
        <is>
          <t>Easy run — 5 km</t>
        </is>
      </c>
      <c r="G7" s="5" t="inlineStr">
        <is>
          <t>30–35 min</t>
        </is>
      </c>
      <c r="H7" s="8" t="n"/>
      <c r="I7" s="9" t="n">
        <v>5</v>
      </c>
      <c r="J7" s="10" t="n"/>
      <c r="K7" s="11" t="n"/>
      <c r="L7" s="12" t="n"/>
      <c r="M7" s="10" t="n"/>
      <c r="N7" s="10" t="n"/>
      <c r="O7" s="13" t="n"/>
      <c r="P7" s="7" t="inlineStr">
        <is>
          <t>Track or soft trail, nothing paved. 140–152 bpm, cadence 175–180. This is the only run this week; resist adding another.</t>
        </is>
      </c>
    </row>
    <row r="8">
      <c r="A8" s="4" t="inlineStr">
        <is>
          <t>2026-09-22</t>
        </is>
      </c>
      <c r="B8" s="5" t="inlineStr">
        <is>
          <t>Tue</t>
        </is>
      </c>
      <c r="C8" s="5" t="n">
        <v>1</v>
      </c>
      <c r="D8" s="5" t="inlineStr">
        <is>
          <t>reset</t>
        </is>
      </c>
      <c r="E8" s="16" t="inlineStr">
        <is>
          <t>recovery</t>
        </is>
      </c>
      <c r="F8" s="7" t="inlineStr">
        <is>
          <t>Mobility + lower-leg prehab</t>
        </is>
      </c>
      <c r="G8" s="5" t="inlineStr">
        <is>
          <t>15 min</t>
        </is>
      </c>
      <c r="H8" s="8" t="n"/>
      <c r="I8" s="9" t="n"/>
      <c r="J8" s="10" t="n"/>
      <c r="K8" s="11" t="n"/>
      <c r="L8" s="12" t="n"/>
      <c r="M8" s="10" t="n"/>
      <c r="N8" s="10" t="n"/>
      <c r="O8" s="13" t="n"/>
      <c r="P8" s="7" t="inlineStr">
        <is>
          <t>Ankle dorsiflexion (knee-to-wall), calf and soleus stretch, hip flexors, thoracic rotation, and 3 × 20 tibialis raises. Ten minutes of this beats an hour once a month.</t>
        </is>
      </c>
    </row>
    <row r="9">
      <c r="A9" s="4" t="inlineStr">
        <is>
          <t>2026-09-23</t>
        </is>
      </c>
      <c r="B9" s="5" t="inlineStr">
        <is>
          <t>Wed</t>
        </is>
      </c>
      <c r="C9" s="5" t="n">
        <v>1</v>
      </c>
      <c r="D9" s="5" t="inlineStr">
        <is>
          <t>reset</t>
        </is>
      </c>
      <c r="E9" s="6" t="inlineStr">
        <is>
          <t>swim</t>
        </is>
      </c>
      <c r="F9" s="7" t="inlineStr">
        <is>
          <t>Swim — technique reset with new gear</t>
        </is>
      </c>
      <c r="G9" s="5" t="inlineStr">
        <is>
          <t>1,600 yd · 36–47 min</t>
        </is>
      </c>
      <c r="H9" s="8" t="n">
        <v>1600</v>
      </c>
      <c r="I9" s="9" t="n"/>
      <c r="J9" s="10" t="n"/>
      <c r="K9" s="11" t="n"/>
      <c r="L9" s="12" t="n"/>
      <c r="M9" s="10" t="n"/>
      <c r="N9" s="10" t="n"/>
      <c r="O9" s="13" t="n"/>
      <c r="P9" s="7" t="inlineStr">
        <is>
          <t>Warm-up 300. Drill 600 with snorkel and fins: 6 × 50 as catch-up / 6-1-6 left / 6-1-6 right / fingertip drag / side kick / single-arm. Main 10 × 50 on 1:15 aerobic, every 4th one breathing to the left. Cool-down 200. Getting the snorkel to feel normal is the whole job today.</t>
        </is>
      </c>
    </row>
    <row r="10">
      <c r="A10" s="4" t="inlineStr">
        <is>
          <t>2026-09-23</t>
        </is>
      </c>
      <c r="B10" s="5" t="inlineStr">
        <is>
          <t>Wed</t>
        </is>
      </c>
      <c r="C10" s="5" t="n">
        <v>1</v>
      </c>
      <c r="D10" s="5" t="inlineStr">
        <is>
          <t>reset</t>
        </is>
      </c>
      <c r="E10" s="17" t="inlineStr">
        <is>
          <t>bike</t>
        </is>
      </c>
      <c r="F10" s="7" t="inlineStr">
        <is>
          <t>Spin bike — Z2 aerobic</t>
        </is>
      </c>
      <c r="G10" s="5" t="inlineStr">
        <is>
          <t>45 min</t>
        </is>
      </c>
      <c r="H10" s="8" t="n"/>
      <c r="I10" s="9" t="n"/>
      <c r="J10" s="10" t="n"/>
      <c r="K10" s="11" t="n"/>
      <c r="L10" s="12" t="n"/>
      <c r="M10" s="10" t="n"/>
      <c r="N10" s="10" t="n"/>
      <c r="O10" s="13" t="n"/>
      <c r="P10" s="7" t="inlineStr">
        <is>
          <t>Keiser M3i, 130–145 bpm, cadence 85–95. Note your average watts — you will want the comparison after next week's FTP test.</t>
        </is>
      </c>
    </row>
    <row r="11">
      <c r="A11" s="4" t="inlineStr">
        <is>
          <t>2026-09-24</t>
        </is>
      </c>
      <c r="B11" s="5" t="inlineStr">
        <is>
          <t>Thu</t>
        </is>
      </c>
      <c r="C11" s="5" t="n">
        <v>1</v>
      </c>
      <c r="D11" s="5" t="inlineStr">
        <is>
          <t>reset</t>
        </is>
      </c>
      <c r="E11" s="16" t="inlineStr">
        <is>
          <t>recovery</t>
        </is>
      </c>
      <c r="F11" s="7" t="inlineStr">
        <is>
          <t>Optional shakeout walk or easy spin</t>
        </is>
      </c>
      <c r="G11" s="5" t="inlineStr">
        <is>
          <t>25 min</t>
        </is>
      </c>
      <c r="H11" s="8" t="n"/>
      <c r="I11" s="9" t="n"/>
      <c r="J11" s="10" t="n"/>
      <c r="K11" s="11" t="n"/>
      <c r="L11" s="12" t="n"/>
      <c r="M11" s="10" t="n"/>
      <c r="N11" s="10" t="n"/>
      <c r="O11" s="13" t="n"/>
      <c r="P11" s="7" t="inlineStr">
        <is>
          <t>Only if the legs feel good after Tuesday. Walking counts. Nothing that loads the shins.</t>
        </is>
      </c>
    </row>
    <row r="12">
      <c r="A12" s="4" t="inlineStr">
        <is>
          <t>2026-09-24</t>
        </is>
      </c>
      <c r="B12" s="5" t="inlineStr">
        <is>
          <t>Thu</t>
        </is>
      </c>
      <c r="C12" s="5" t="n">
        <v>1</v>
      </c>
      <c r="D12" s="5" t="inlineStr">
        <is>
          <t>reset</t>
        </is>
      </c>
      <c r="E12" s="16" t="inlineStr">
        <is>
          <t>recovery</t>
        </is>
      </c>
      <c r="F12" s="7" t="inlineStr">
        <is>
          <t>Mobility + lower-leg prehab</t>
        </is>
      </c>
      <c r="G12" s="5" t="inlineStr">
        <is>
          <t>20 min</t>
        </is>
      </c>
      <c r="H12" s="8" t="n"/>
      <c r="I12" s="9" t="n"/>
      <c r="J12" s="10" t="n"/>
      <c r="K12" s="11" t="n"/>
      <c r="L12" s="12" t="n"/>
      <c r="M12" s="10" t="n"/>
      <c r="N12" s="10" t="n"/>
      <c r="O12" s="13" t="n"/>
      <c r="P12" s="7" t="inlineStr">
        <is>
          <t>Longer mobility session: hips, ankles, calves, and thoracic spine. Add 3 × 45 s soleus wall sits.</t>
        </is>
      </c>
    </row>
    <row r="13">
      <c r="A13" s="4" t="inlineStr">
        <is>
          <t>2026-09-25</t>
        </is>
      </c>
      <c r="B13" s="5" t="inlineStr">
        <is>
          <t>Fri</t>
        </is>
      </c>
      <c r="C13" s="5" t="n">
        <v>1</v>
      </c>
      <c r="D13" s="5" t="inlineStr">
        <is>
          <t>reset</t>
        </is>
      </c>
      <c r="E13" s="6" t="inlineStr">
        <is>
          <t>swim</t>
        </is>
      </c>
      <c r="F13" s="7" t="inlineStr">
        <is>
          <t>Swim — long aerobic base</t>
        </is>
      </c>
      <c r="G13" s="5" t="inlineStr">
        <is>
          <t>2,000 yd · 44–59 min</t>
        </is>
      </c>
      <c r="H13" s="8" t="n">
        <v>2000</v>
      </c>
      <c r="I13" s="9" t="n"/>
      <c r="J13" s="10" t="n"/>
      <c r="K13" s="11" t="n"/>
      <c r="L13" s="12" t="n"/>
      <c r="M13" s="10" t="n"/>
      <c r="N13" s="10" t="n"/>
      <c r="O13" s="13" t="n"/>
      <c r="P13" s="7" t="inlineStr">
        <is>
          <t>Warm-up 300. Main: 1,000 continuous at genuine easy-aerobic (2:05–2:10/100). Then 6 × 100 on 2:30. Cool-down 200. Watch HR on the 1,000 — if it climbs more than ~15 bpm from start to finish, you went out too hard. That drift number is the benchmark we beat all block.</t>
        </is>
      </c>
    </row>
    <row r="14">
      <c r="A14" s="4" t="inlineStr">
        <is>
          <t>2026-09-26</t>
        </is>
      </c>
      <c r="B14" s="5" t="inlineStr">
        <is>
          <t>Sat</t>
        </is>
      </c>
      <c r="C14" s="5" t="n">
        <v>1</v>
      </c>
      <c r="D14" s="5" t="inlineStr">
        <is>
          <t>reset</t>
        </is>
      </c>
      <c r="E14" s="18" t="inlineStr">
        <is>
          <t>hike</t>
        </is>
      </c>
      <c r="F14" s="7" t="inlineStr">
        <is>
          <t>Weekend aerobic — long ride or hike</t>
        </is>
      </c>
      <c r="G14" s="5" t="inlineStr">
        <is>
          <t>2–3 hr</t>
        </is>
      </c>
      <c r="H14" s="8" t="n"/>
      <c r="I14" s="9" t="n"/>
      <c r="J14" s="10" t="n"/>
      <c r="K14" s="11" t="n"/>
      <c r="L14" s="12" t="n"/>
      <c r="M14" s="10" t="n"/>
      <c r="N14" s="10" t="n"/>
      <c r="O14" s="13" t="n"/>
      <c r="P14" s="7" t="inlineStr">
        <is>
          <t>Your pick: 2–2.5 hr endurance ride or a 2–3 hr hike. Keep it genuinely aerobic; this is volume, not a workout.</t>
        </is>
      </c>
    </row>
    <row r="15">
      <c r="A15" s="4" t="inlineStr">
        <is>
          <t>2026-09-26</t>
        </is>
      </c>
      <c r="B15" s="5" t="inlineStr">
        <is>
          <t>Sat</t>
        </is>
      </c>
      <c r="C15" s="5" t="n">
        <v>1</v>
      </c>
      <c r="D15" s="5" t="inlineStr">
        <is>
          <t>reset</t>
        </is>
      </c>
      <c r="E15" s="6" t="inlineStr">
        <is>
          <t>swim</t>
        </is>
      </c>
      <c r="F15" s="7" t="inlineStr">
        <is>
          <t>Technique swim (short)</t>
        </is>
      </c>
      <c r="G15" s="5" t="inlineStr">
        <is>
          <t>1,000 yd · 22–29 min</t>
        </is>
      </c>
      <c r="H15" s="8" t="n">
        <v>1000</v>
      </c>
      <c r="I15" s="9" t="n"/>
      <c r="J15" s="10" t="n"/>
      <c r="K15" s="11" t="n"/>
      <c r="L15" s="12" t="n"/>
      <c r="M15" s="10" t="n"/>
      <c r="N15" s="10" t="n"/>
      <c r="O15" s="13" t="n"/>
      <c r="P15" s="7" t="inlineStr">
        <is>
          <t>No clock, no main set. Snorkel and fins for the first half, then easy 50s holding the feel. This session exists to raise frequency and keep the stroke fresh — leave the pool fresher than you arrived.</t>
        </is>
      </c>
    </row>
    <row r="16">
      <c r="A16" s="4" t="inlineStr">
        <is>
          <t>2026-09-27</t>
        </is>
      </c>
      <c r="B16" s="5" t="inlineStr">
        <is>
          <t>Sun</t>
        </is>
      </c>
      <c r="C16" s="5" t="n">
        <v>1</v>
      </c>
      <c r="D16" s="5" t="inlineStr">
        <is>
          <t>reset</t>
        </is>
      </c>
      <c r="E16" s="16" t="inlineStr">
        <is>
          <t>recovery</t>
        </is>
      </c>
      <c r="F16" s="7" t="inlineStr">
        <is>
          <t>Mobility + lower-leg prehab</t>
        </is>
      </c>
      <c r="G16" s="5" t="inlineStr">
        <is>
          <t>25 min</t>
        </is>
      </c>
      <c r="H16" s="8" t="n"/>
      <c r="I16" s="9" t="n"/>
      <c r="J16" s="10" t="n"/>
      <c r="K16" s="11" t="n"/>
      <c r="L16" s="12" t="n"/>
      <c r="M16" s="10" t="n"/>
      <c r="N16" s="10" t="n"/>
      <c r="O16" s="13" t="n"/>
      <c r="P16" s="7" t="inlineStr">
        <is>
          <t>Full mobility session plus foot intrinsics: short-foot holds, towel scrunches, and heel/toe walks. Ten minutes of this on Sundays is what keeps the anterior compartment quiet.</t>
        </is>
      </c>
    </row>
    <row r="17">
      <c r="A17" s="4" t="inlineStr">
        <is>
          <t>2026-09-27</t>
        </is>
      </c>
      <c r="B17" s="5" t="inlineStr">
        <is>
          <t>Sun</t>
        </is>
      </c>
      <c r="C17" s="5" t="n">
        <v>1</v>
      </c>
      <c r="D17" s="5" t="inlineStr">
        <is>
          <t>reset</t>
        </is>
      </c>
      <c r="E17" s="17" t="inlineStr">
        <is>
          <t>bike</t>
        </is>
      </c>
      <c r="F17" s="7" t="inlineStr">
        <is>
          <t>Easy spin (optional)</t>
        </is>
      </c>
      <c r="G17" s="5" t="inlineStr">
        <is>
          <t>40–60 min</t>
        </is>
      </c>
      <c r="H17" s="8" t="n"/>
      <c r="I17" s="9" t="n"/>
      <c r="J17" s="10" t="n"/>
      <c r="K17" s="11" t="n"/>
      <c r="L17" s="12" t="n"/>
      <c r="M17" s="10" t="n"/>
      <c r="N17" s="10" t="n"/>
      <c r="O17" s="13" t="n"/>
      <c r="P17" s="7" t="inlineStr">
        <is>
          <t>Recovery spin only if you want the extra aerobic time. Zone 1–2, no intensity.</t>
        </is>
      </c>
    </row>
    <row r="18">
      <c r="A18" s="4" t="inlineStr">
        <is>
          <t>2026-09-28</t>
        </is>
      </c>
      <c r="B18" s="5" t="inlineStr">
        <is>
          <t>Mon</t>
        </is>
      </c>
      <c r="C18" s="5" t="n">
        <v>2</v>
      </c>
      <c r="D18" s="5" t="inlineStr">
        <is>
          <t>reset</t>
        </is>
      </c>
      <c r="E18" s="6" t="inlineStr">
        <is>
          <t>swim</t>
        </is>
      </c>
      <c r="F18" s="7" t="inlineStr">
        <is>
          <t>Swim — threshold 10 × 100</t>
        </is>
      </c>
      <c r="G18" s="5" t="inlineStr">
        <is>
          <t>2,200 yd · 49–65 min</t>
        </is>
      </c>
      <c r="H18" s="8" t="n">
        <v>2200</v>
      </c>
      <c r="I18" s="9" t="n"/>
      <c r="J18" s="10" t="n"/>
      <c r="K18" s="11" t="n"/>
      <c r="L18" s="12" t="n"/>
      <c r="M18" s="10" t="n"/>
      <c r="N18" s="10" t="n"/>
      <c r="O18" s="13" t="n"/>
      <c r="P18" s="7" t="inlineStr">
        <is>
          <t>Warm-up 400. Drill 400 with snorkel and fins. Main: 10 × 100 at CSS on 2:15 (about 18 s rest). Then 4 × 50 breaststroke easy. Cool-down 200. If you cannot hold the last three, the send-off is too tight — add 5 s, do not slow the swimming down.</t>
        </is>
      </c>
    </row>
    <row r="19">
      <c r="A19" s="4" t="inlineStr">
        <is>
          <t>2026-09-28</t>
        </is>
      </c>
      <c r="B19" s="5" t="inlineStr">
        <is>
          <t>Mon</t>
        </is>
      </c>
      <c r="C19" s="5" t="n">
        <v>2</v>
      </c>
      <c r="D19" s="5" t="inlineStr">
        <is>
          <t>reset</t>
        </is>
      </c>
      <c r="E19" s="14" t="inlineStr">
        <is>
          <t>strength</t>
        </is>
      </c>
      <c r="F19" s="7" t="inlineStr">
        <is>
          <t>Strength A — RDL + posterior chain</t>
        </is>
      </c>
      <c r="G19" s="5" t="inlineStr">
        <is>
          <t>45–55 min</t>
        </is>
      </c>
      <c r="H19" s="8" t="n"/>
      <c r="I19" s="9" t="n"/>
      <c r="J19" s="10" t="n"/>
      <c r="K19" s="11" t="n"/>
      <c r="L19" s="12" t="n"/>
      <c r="M19" s="10" t="n"/>
      <c r="N19" s="10" t="n"/>
      <c r="O19" s="13" t="n"/>
      <c r="P19" s="7" t="inlineStr">
        <is>
          <t>Second time through. Add load to the RDL if last week's felt easy, but keep the 3 s eccentric honest.</t>
        </is>
      </c>
    </row>
    <row r="20">
      <c r="A20" s="4" t="inlineStr">
        <is>
          <t>2026-09-29</t>
        </is>
      </c>
      <c r="B20" s="5" t="inlineStr">
        <is>
          <t>Tue</t>
        </is>
      </c>
      <c r="C20" s="5" t="n">
        <v>2</v>
      </c>
      <c r="D20" s="5" t="inlineStr">
        <is>
          <t>reset</t>
        </is>
      </c>
      <c r="E20" s="15" t="inlineStr">
        <is>
          <t>run</t>
        </is>
      </c>
      <c r="F20" s="7" t="inlineStr">
        <is>
          <t>Easy run — 6 km + strides</t>
        </is>
      </c>
      <c r="G20" s="5" t="inlineStr">
        <is>
          <t>35–40 min</t>
        </is>
      </c>
      <c r="H20" s="8" t="n"/>
      <c r="I20" s="9" t="n">
        <v>6</v>
      </c>
      <c r="J20" s="10" t="n"/>
      <c r="K20" s="11" t="n"/>
      <c r="L20" s="12" t="n"/>
      <c r="M20" s="10" t="n"/>
      <c r="N20" s="10" t="n"/>
      <c r="O20" s="13" t="n"/>
      <c r="P20" s="7" t="inlineStr">
        <is>
          <t>Track or soft trail. Finish with 4 × 20 s strides on grass, full recovery between. Strides build tendon stiffness without adding volume — they are the safest speed you can do right now.</t>
        </is>
      </c>
    </row>
    <row r="21">
      <c r="A21" s="4" t="inlineStr">
        <is>
          <t>2026-09-29</t>
        </is>
      </c>
      <c r="B21" s="5" t="inlineStr">
        <is>
          <t>Tue</t>
        </is>
      </c>
      <c r="C21" s="5" t="n">
        <v>2</v>
      </c>
      <c r="D21" s="5" t="inlineStr">
        <is>
          <t>reset</t>
        </is>
      </c>
      <c r="E21" s="16" t="inlineStr">
        <is>
          <t>recovery</t>
        </is>
      </c>
      <c r="F21" s="7" t="inlineStr">
        <is>
          <t>Mobility + lower-leg prehab</t>
        </is>
      </c>
      <c r="G21" s="5" t="inlineStr">
        <is>
          <t>15 min</t>
        </is>
      </c>
      <c r="H21" s="8" t="n"/>
      <c r="I21" s="9" t="n"/>
      <c r="J21" s="10" t="n"/>
      <c r="K21" s="11" t="n"/>
      <c r="L21" s="12" t="n"/>
      <c r="M21" s="10" t="n"/>
      <c r="N21" s="10" t="n"/>
      <c r="O21" s="13" t="n"/>
      <c r="P21" s="7" t="inlineStr">
        <is>
          <t>Ankle dorsiflexion (knee-to-wall), calf and soleus stretch, hip flexors, thoracic rotation, and 3 × 20 tibialis raises. Ten minutes of this beats an hour once a month.</t>
        </is>
      </c>
    </row>
    <row r="22">
      <c r="A22" s="4" t="inlineStr">
        <is>
          <t>2026-09-30</t>
        </is>
      </c>
      <c r="B22" s="5" t="inlineStr">
        <is>
          <t>Wed</t>
        </is>
      </c>
      <c r="C22" s="5" t="n">
        <v>2</v>
      </c>
      <c r="D22" s="5" t="inlineStr">
        <is>
          <t>reset</t>
        </is>
      </c>
      <c r="E22" s="6" t="inlineStr">
        <is>
          <t>swim</t>
        </is>
      </c>
      <c r="F22" s="7" t="inlineStr">
        <is>
          <t>Swim — speed + bilateral breathing</t>
        </is>
      </c>
      <c r="G22" s="5" t="inlineStr">
        <is>
          <t>1,900 yd · 42–56 min</t>
        </is>
      </c>
      <c r="H22" s="8" t="n">
        <v>1900</v>
      </c>
      <c r="I22" s="9" t="n"/>
      <c r="J22" s="10" t="n"/>
      <c r="K22" s="11" t="n"/>
      <c r="L22" s="12" t="n"/>
      <c r="M22" s="10" t="n"/>
      <c r="N22" s="10" t="n"/>
      <c r="O22" s="13" t="n"/>
      <c r="P22" s="7" t="inlineStr">
        <is>
          <t>Warm-up 300. Drill 400 focused on breathing: 3/5/3 pattern, 6-1-6 both sides. Main 16 × 50 on 1:10, odd ones aerobic and even ones fast. Then 4 × 50 breaststroke working the pull-breathe-kick-glide timing. Cool-down 200.</t>
        </is>
      </c>
    </row>
    <row r="23">
      <c r="A23" s="4" t="inlineStr">
        <is>
          <t>2026-09-30</t>
        </is>
      </c>
      <c r="B23" s="5" t="inlineStr">
        <is>
          <t>Wed</t>
        </is>
      </c>
      <c r="C23" s="5" t="n">
        <v>2</v>
      </c>
      <c r="D23" s="5" t="inlineStr">
        <is>
          <t>reset</t>
        </is>
      </c>
      <c r="E23" s="17" t="inlineStr">
        <is>
          <t>bike</t>
        </is>
      </c>
      <c r="F23" s="7" t="inlineStr">
        <is>
          <t>Spin bike — 20 min FTP test</t>
        </is>
      </c>
      <c r="G23" s="5" t="inlineStr">
        <is>
          <t>50 min</t>
        </is>
      </c>
      <c r="H23" s="8" t="n"/>
      <c r="I23" s="9" t="n"/>
      <c r="J23" s="10" t="n"/>
      <c r="K23" s="11" t="n"/>
      <c r="L23" s="12" t="n"/>
      <c r="M23" s="10" t="n"/>
      <c r="N23" s="10" t="n"/>
      <c r="O23" s="13" t="n"/>
      <c r="P23" s="7" t="inlineStr">
        <is>
          <t>Keiser M3i. 15 min warm-up with 3 × 1 min builds, then 20 min all-out at an even effort, then 10 min easy. FTP ≈ 95% of your 20 min average watts. Record it — every bike interval after this is a percentage of it.</t>
        </is>
      </c>
    </row>
    <row r="24">
      <c r="A24" s="4" t="inlineStr">
        <is>
          <t>2026-10-01</t>
        </is>
      </c>
      <c r="B24" s="5" t="inlineStr">
        <is>
          <t>Thu</t>
        </is>
      </c>
      <c r="C24" s="5" t="n">
        <v>2</v>
      </c>
      <c r="D24" s="5" t="inlineStr">
        <is>
          <t>reset</t>
        </is>
      </c>
      <c r="E24" s="14" t="inlineStr">
        <is>
          <t>strength</t>
        </is>
      </c>
      <c r="F24" s="7" t="inlineStr">
        <is>
          <t>Strength B — Bulgarian split squat + hips and core</t>
        </is>
      </c>
      <c r="G24" s="5" t="inlineStr">
        <is>
          <t>45–55 min</t>
        </is>
      </c>
      <c r="H24" s="8" t="n"/>
      <c r="I24" s="9" t="n"/>
      <c r="J24" s="10" t="n"/>
      <c r="K24" s="11" t="n"/>
      <c r="L24" s="12" t="n"/>
      <c r="M24" s="10" t="n"/>
      <c r="N24" s="10" t="n"/>
      <c r="O24" s="13" t="n"/>
      <c r="P24" s="7" t="inlineStr">
        <is>
          <t>First Strength B. Bulgarian split squats on the Smith machine — find a load where rep 8 is hard but clean. Copenhagen planks will humble you; start on the short lever (knee on bench).</t>
        </is>
      </c>
    </row>
    <row r="25">
      <c r="A25" s="4" t="inlineStr">
        <is>
          <t>2026-10-01</t>
        </is>
      </c>
      <c r="B25" s="5" t="inlineStr">
        <is>
          <t>Thu</t>
        </is>
      </c>
      <c r="C25" s="5" t="n">
        <v>2</v>
      </c>
      <c r="D25" s="5" t="inlineStr">
        <is>
          <t>reset</t>
        </is>
      </c>
      <c r="E25" s="16" t="inlineStr">
        <is>
          <t>recovery</t>
        </is>
      </c>
      <c r="F25" s="7" t="inlineStr">
        <is>
          <t>Mobility + lower-leg prehab</t>
        </is>
      </c>
      <c r="G25" s="5" t="inlineStr">
        <is>
          <t>15 min</t>
        </is>
      </c>
      <c r="H25" s="8" t="n"/>
      <c r="I25" s="9" t="n"/>
      <c r="J25" s="10" t="n"/>
      <c r="K25" s="11" t="n"/>
      <c r="L25" s="12" t="n"/>
      <c r="M25" s="10" t="n"/>
      <c r="N25" s="10" t="n"/>
      <c r="O25" s="13" t="n"/>
      <c r="P25" s="7" t="inlineStr">
        <is>
          <t>Ankle dorsiflexion (knee-to-wall), calf and soleus stretch, hip flexors, thoracic rotation, and 3 × 20 tibialis raises. Ten minutes of this beats an hour once a month.</t>
        </is>
      </c>
    </row>
    <row r="26">
      <c r="A26" s="4" t="inlineStr">
        <is>
          <t>2026-10-02</t>
        </is>
      </c>
      <c r="B26" s="5" t="inlineStr">
        <is>
          <t>Fri</t>
        </is>
      </c>
      <c r="C26" s="5" t="n">
        <v>2</v>
      </c>
      <c r="D26" s="5" t="inlineStr">
        <is>
          <t>reset</t>
        </is>
      </c>
      <c r="E26" s="6" t="inlineStr">
        <is>
          <t>swim</t>
        </is>
      </c>
      <c r="F26" s="7" t="inlineStr">
        <is>
          <t>Swim — long aerobic 1,200</t>
        </is>
      </c>
      <c r="G26" s="5" t="inlineStr">
        <is>
          <t>2,200 yd · 49–65 min</t>
        </is>
      </c>
      <c r="H26" s="8" t="n">
        <v>2200</v>
      </c>
      <c r="I26" s="9" t="n"/>
      <c r="J26" s="10" t="n"/>
      <c r="K26" s="11" t="n"/>
      <c r="L26" s="12" t="n"/>
      <c r="M26" s="10" t="n"/>
      <c r="N26" s="10" t="n"/>
      <c r="O26" s="13" t="n"/>
      <c r="P26" s="7" t="inlineStr">
        <is>
          <t>Warm-up 300. Main: 1,200 continuous aerobic, then 4 × 100 at CSS on 2:20. Cool-down 300. Breathe to the left for the first 50 of every 200 inside the continuous swim — build the habit while the effort is low.</t>
        </is>
      </c>
    </row>
    <row r="27">
      <c r="A27" s="4" t="inlineStr">
        <is>
          <t>2026-10-03</t>
        </is>
      </c>
      <c r="B27" s="5" t="inlineStr">
        <is>
          <t>Sat</t>
        </is>
      </c>
      <c r="C27" s="5" t="n">
        <v>2</v>
      </c>
      <c r="D27" s="5" t="inlineStr">
        <is>
          <t>reset</t>
        </is>
      </c>
      <c r="E27" s="18" t="inlineStr">
        <is>
          <t>hike</t>
        </is>
      </c>
      <c r="F27" s="7" t="inlineStr">
        <is>
          <t>Stairmaster + 10 lb pack</t>
        </is>
      </c>
      <c r="G27" s="5" t="inlineStr">
        <is>
          <t>40 min</t>
        </is>
      </c>
      <c r="H27" s="8" t="n"/>
      <c r="I27" s="9" t="n"/>
      <c r="J27" s="10" t="n"/>
      <c r="K27" s="11" t="n"/>
      <c r="L27" s="12" t="n"/>
      <c r="M27" s="10" t="n"/>
      <c r="N27" s="10" t="n"/>
      <c r="O27" s="13" t="n"/>
      <c r="P27" s="7" t="inlineStr">
        <is>
          <t>Steady climb, 40 min, 10 lb in the pack. This is Rainier maintenance, not a workout — keep HR under 150 and let the legs do slow steady work.</t>
        </is>
      </c>
    </row>
    <row r="28">
      <c r="A28" s="4" t="inlineStr">
        <is>
          <t>2026-10-03</t>
        </is>
      </c>
      <c r="B28" s="5" t="inlineStr">
        <is>
          <t>Sat</t>
        </is>
      </c>
      <c r="C28" s="5" t="n">
        <v>2</v>
      </c>
      <c r="D28" s="5" t="inlineStr">
        <is>
          <t>reset</t>
        </is>
      </c>
      <c r="E28" s="6" t="inlineStr">
        <is>
          <t>swim</t>
        </is>
      </c>
      <c r="F28" s="7" t="inlineStr">
        <is>
          <t>Technique swim (short)</t>
        </is>
      </c>
      <c r="G28" s="5" t="inlineStr">
        <is>
          <t>900 yd · 20–26 min</t>
        </is>
      </c>
      <c r="H28" s="8" t="n">
        <v>900</v>
      </c>
      <c r="I28" s="9" t="n"/>
      <c r="J28" s="10" t="n"/>
      <c r="K28" s="11" t="n"/>
      <c r="L28" s="12" t="n"/>
      <c r="M28" s="10" t="n"/>
      <c r="N28" s="10" t="n"/>
      <c r="O28" s="13" t="n"/>
      <c r="P28" s="7" t="inlineStr">
        <is>
          <t>No clock, no main set. Snorkel and fins for the first half, then easy 50s holding the feel. This session exists to raise frequency and keep the stroke fresh — leave the pool fresher than you arrived.</t>
        </is>
      </c>
    </row>
    <row r="29">
      <c r="A29" s="4" t="inlineStr">
        <is>
          <t>2026-10-04</t>
        </is>
      </c>
      <c r="B29" s="5" t="inlineStr">
        <is>
          <t>Sun</t>
        </is>
      </c>
      <c r="C29" s="5" t="n">
        <v>2</v>
      </c>
      <c r="D29" s="5" t="inlineStr">
        <is>
          <t>reset</t>
        </is>
      </c>
      <c r="E29" s="17" t="inlineStr">
        <is>
          <t>bike</t>
        </is>
      </c>
      <c r="F29" s="7" t="inlineStr">
        <is>
          <t>Endurance ride — Z2</t>
        </is>
      </c>
      <c r="G29" s="5" t="inlineStr">
        <is>
          <t>60 min</t>
        </is>
      </c>
      <c r="H29" s="8" t="n"/>
      <c r="I29" s="9" t="n"/>
      <c r="J29" s="10" t="n"/>
      <c r="K29" s="11" t="n"/>
      <c r="L29" s="12" t="n"/>
      <c r="M29" s="10" t="n"/>
      <c r="N29" s="10" t="n"/>
      <c r="O29" s="13" t="n"/>
      <c r="P29" s="7" t="inlineStr">
        <is>
          <t>Outdoors while the weather allows. 130–145 bpm, steady. Now that you have an FTP number, note the ride's average watts for reference.</t>
        </is>
      </c>
    </row>
    <row r="30">
      <c r="A30" s="4" t="inlineStr">
        <is>
          <t>2026-10-04</t>
        </is>
      </c>
      <c r="B30" s="5" t="inlineStr">
        <is>
          <t>Sun</t>
        </is>
      </c>
      <c r="C30" s="5" t="n">
        <v>2</v>
      </c>
      <c r="D30" s="5" t="inlineStr">
        <is>
          <t>reset</t>
        </is>
      </c>
      <c r="E30" s="16" t="inlineStr">
        <is>
          <t>recovery</t>
        </is>
      </c>
      <c r="F30" s="7" t="inlineStr">
        <is>
          <t>Mobility + lower-leg prehab</t>
        </is>
      </c>
      <c r="G30" s="5" t="inlineStr">
        <is>
          <t>20 min</t>
        </is>
      </c>
      <c r="H30" s="8" t="n"/>
      <c r="I30" s="9" t="n"/>
      <c r="J30" s="10" t="n"/>
      <c r="K30" s="11" t="n"/>
      <c r="L30" s="12" t="n"/>
      <c r="M30" s="10" t="n"/>
      <c r="N30" s="10" t="n"/>
      <c r="O30" s="13" t="n"/>
      <c r="P30" s="7" t="inlineStr">
        <is>
          <t>Mobility plus foot intrinsics. Check knee-to-wall and log the number.</t>
        </is>
      </c>
    </row>
    <row r="31">
      <c r="A31" s="4" t="inlineStr">
        <is>
          <t>2026-10-05</t>
        </is>
      </c>
      <c r="B31" s="5" t="inlineStr">
        <is>
          <t>Mon</t>
        </is>
      </c>
      <c r="C31" s="5" t="n">
        <v>3</v>
      </c>
      <c r="D31" s="5" t="inlineStr">
        <is>
          <t>reset</t>
        </is>
      </c>
      <c r="E31" s="6" t="inlineStr">
        <is>
          <t>swim</t>
        </is>
      </c>
      <c r="F31" s="7" t="inlineStr">
        <is>
          <t>Swim — threshold 5 × 200</t>
        </is>
      </c>
      <c r="G31" s="5" t="inlineStr">
        <is>
          <t>2,300 yd · 51–68 min</t>
        </is>
      </c>
      <c r="H31" s="8" t="n">
        <v>2300</v>
      </c>
      <c r="I31" s="9" t="n"/>
      <c r="J31" s="10" t="n"/>
      <c r="K31" s="11" t="n"/>
      <c r="L31" s="12" t="n"/>
      <c r="M31" s="10" t="n"/>
      <c r="N31" s="10" t="n"/>
      <c r="O31" s="13" t="n"/>
      <c r="P31" s="7" t="inlineStr">
        <is>
          <t>Warm-up 400. Drill 400. Main: 5 × 200 at CSS on 4:25 (about 20 s rest). Cool-down 300. Longer reps at the same pace — this is where the sprint-to-distance gap actually closes.</t>
        </is>
      </c>
    </row>
    <row r="32">
      <c r="A32" s="4" t="inlineStr">
        <is>
          <t>2026-10-05</t>
        </is>
      </c>
      <c r="B32" s="5" t="inlineStr">
        <is>
          <t>Mon</t>
        </is>
      </c>
      <c r="C32" s="5" t="n">
        <v>3</v>
      </c>
      <c r="D32" s="5" t="inlineStr">
        <is>
          <t>reset</t>
        </is>
      </c>
      <c r="E32" s="14" t="inlineStr">
        <is>
          <t>strength</t>
        </is>
      </c>
      <c r="F32" s="7" t="inlineStr">
        <is>
          <t>Strength A — RDL + posterior chain</t>
        </is>
      </c>
      <c r="G32" s="5" t="inlineStr">
        <is>
          <t>45–55 min</t>
        </is>
      </c>
      <c r="H32" s="8" t="n"/>
      <c r="I32" s="9" t="n"/>
      <c r="J32" s="10" t="n"/>
      <c r="K32" s="11" t="n"/>
      <c r="L32" s="12" t="n"/>
      <c r="M32" s="10" t="n"/>
      <c r="N32" s="10" t="n"/>
      <c r="O32" s="13" t="n"/>
      <c r="P32" s="7" t="inlineStr">
        <is>
          <t>Progress the RDL. Log the weight; you want to see this number move across the block.</t>
        </is>
      </c>
    </row>
    <row r="33">
      <c r="A33" s="4" t="inlineStr">
        <is>
          <t>2026-10-06</t>
        </is>
      </c>
      <c r="B33" s="5" t="inlineStr">
        <is>
          <t>Tue</t>
        </is>
      </c>
      <c r="C33" s="5" t="n">
        <v>3</v>
      </c>
      <c r="D33" s="5" t="inlineStr">
        <is>
          <t>reset</t>
        </is>
      </c>
      <c r="E33" s="15" t="inlineStr">
        <is>
          <t>run</t>
        </is>
      </c>
      <c r="F33" s="7" t="inlineStr">
        <is>
          <t>Easy run — 4 km</t>
        </is>
      </c>
      <c r="G33" s="5" t="inlineStr">
        <is>
          <t>28–32 min</t>
        </is>
      </c>
      <c r="H33" s="8" t="n"/>
      <c r="I33" s="9" t="n">
        <v>4</v>
      </c>
      <c r="J33" s="10" t="n"/>
      <c r="K33" s="11" t="n"/>
      <c r="L33" s="12" t="n"/>
      <c r="M33" s="10" t="n"/>
      <c r="N33" s="10" t="n"/>
      <c r="O33" s="13" t="n"/>
      <c r="P33" s="7" t="inlineStr">
        <is>
          <t>ORTHOTIC GATE: if they have not arrived, skip this and run only on Thursday. If they have, this is your first run in them — keep it short deliberately. New orthotics change how your foot loads, and calf soreness in the first two weeks is expected.</t>
        </is>
      </c>
    </row>
    <row r="34">
      <c r="A34" s="4" t="inlineStr">
        <is>
          <t>2026-10-06</t>
        </is>
      </c>
      <c r="B34" s="5" t="inlineStr">
        <is>
          <t>Tue</t>
        </is>
      </c>
      <c r="C34" s="5" t="n">
        <v>3</v>
      </c>
      <c r="D34" s="5" t="inlineStr">
        <is>
          <t>reset</t>
        </is>
      </c>
      <c r="E34" s="16" t="inlineStr">
        <is>
          <t>recovery</t>
        </is>
      </c>
      <c r="F34" s="7" t="inlineStr">
        <is>
          <t>Mobility + lower-leg prehab</t>
        </is>
      </c>
      <c r="G34" s="5" t="inlineStr">
        <is>
          <t>15 min</t>
        </is>
      </c>
      <c r="H34" s="8" t="n"/>
      <c r="I34" s="9" t="n"/>
      <c r="J34" s="10" t="n"/>
      <c r="K34" s="11" t="n"/>
      <c r="L34" s="12" t="n"/>
      <c r="M34" s="10" t="n"/>
      <c r="N34" s="10" t="n"/>
      <c r="O34" s="13" t="n"/>
      <c r="P34" s="7" t="inlineStr">
        <is>
          <t>Ankle dorsiflexion (knee-to-wall), calf and soleus stretch, hip flexors, thoracic rotation, and 3 × 20 tibialis raises. Ten minutes of this beats an hour once a month.</t>
        </is>
      </c>
    </row>
    <row r="35">
      <c r="A35" s="4" t="inlineStr">
        <is>
          <t>2026-10-07</t>
        </is>
      </c>
      <c r="B35" s="5" t="inlineStr">
        <is>
          <t>Wed</t>
        </is>
      </c>
      <c r="C35" s="5" t="n">
        <v>3</v>
      </c>
      <c r="D35" s="5" t="inlineStr">
        <is>
          <t>reset</t>
        </is>
      </c>
      <c r="E35" s="6" t="inlineStr">
        <is>
          <t>swim</t>
        </is>
      </c>
      <c r="F35" s="7" t="inlineStr">
        <is>
          <t>Swim — speed 20 × 50</t>
        </is>
      </c>
      <c r="G35" s="5" t="inlineStr">
        <is>
          <t>2,000 yd · 44–59 min</t>
        </is>
      </c>
      <c r="H35" s="8" t="n">
        <v>2000</v>
      </c>
      <c r="I35" s="9" t="n"/>
      <c r="J35" s="10" t="n"/>
      <c r="K35" s="11" t="n"/>
      <c r="L35" s="12" t="n"/>
      <c r="M35" s="10" t="n"/>
      <c r="N35" s="10" t="n"/>
      <c r="O35" s="13" t="n"/>
      <c r="P35" s="7" t="inlineStr">
        <is>
          <t>Warm-up 300. Drill 400 with the breathing focus. Main: 20 × 50 on 1:10, alternating aerobic and fast. Then 4 × 50 breaststroke. Cool-down 300. The fast ones should be 1:38–1:48/100 pace, not sprints.</t>
        </is>
      </c>
    </row>
    <row r="36">
      <c r="A36" s="4" t="inlineStr">
        <is>
          <t>2026-10-07</t>
        </is>
      </c>
      <c r="B36" s="5" t="inlineStr">
        <is>
          <t>Wed</t>
        </is>
      </c>
      <c r="C36" s="5" t="n">
        <v>3</v>
      </c>
      <c r="D36" s="5" t="inlineStr">
        <is>
          <t>reset</t>
        </is>
      </c>
      <c r="E36" s="17" t="inlineStr">
        <is>
          <t>bike</t>
        </is>
      </c>
      <c r="F36" s="7" t="inlineStr">
        <is>
          <t>Spin bike — sweet spot 3 × 8 min</t>
        </is>
      </c>
      <c r="G36" s="5" t="inlineStr">
        <is>
          <t>50 min</t>
        </is>
      </c>
      <c r="H36" s="8" t="n"/>
      <c r="I36" s="9" t="n"/>
      <c r="J36" s="10" t="n"/>
      <c r="K36" s="11" t="n"/>
      <c r="L36" s="12" t="n"/>
      <c r="M36" s="10" t="n"/>
      <c r="N36" s="10" t="n"/>
      <c r="O36" s="13" t="n"/>
      <c r="P36" s="7" t="inlineStr">
        <is>
          <t>3 × 8 min at 88–93% FTP with 4 min easy between. Cadence 85–95. First structured bike session of the block.</t>
        </is>
      </c>
    </row>
    <row r="37">
      <c r="A37" s="4" t="inlineStr">
        <is>
          <t>2026-10-08</t>
        </is>
      </c>
      <c r="B37" s="5" t="inlineStr">
        <is>
          <t>Thu</t>
        </is>
      </c>
      <c r="C37" s="5" t="n">
        <v>3</v>
      </c>
      <c r="D37" s="5" t="inlineStr">
        <is>
          <t>reset</t>
        </is>
      </c>
      <c r="E37" s="15" t="inlineStr">
        <is>
          <t>run</t>
        </is>
      </c>
      <c r="F37" s="7" t="inlineStr">
        <is>
          <t>Easy run — 5 km</t>
        </is>
      </c>
      <c r="G37" s="5" t="inlineStr">
        <is>
          <t>32–36 min</t>
        </is>
      </c>
      <c r="H37" s="8" t="n"/>
      <c r="I37" s="9" t="n">
        <v>5</v>
      </c>
      <c r="J37" s="10" t="n"/>
      <c r="K37" s="11" t="n"/>
      <c r="L37" s="12" t="n"/>
      <c r="M37" s="10" t="n"/>
      <c r="N37" s="10" t="n"/>
      <c r="O37" s="13" t="n"/>
      <c r="P37" s="7" t="inlineStr">
        <is>
          <t>Track or soft trail, easy throughout. This is the week's long run even though it is short — that is the point.</t>
        </is>
      </c>
    </row>
    <row r="38">
      <c r="A38" s="4" t="inlineStr">
        <is>
          <t>2026-10-08</t>
        </is>
      </c>
      <c r="B38" s="5" t="inlineStr">
        <is>
          <t>Thu</t>
        </is>
      </c>
      <c r="C38" s="5" t="n">
        <v>3</v>
      </c>
      <c r="D38" s="5" t="inlineStr">
        <is>
          <t>reset</t>
        </is>
      </c>
      <c r="E38" s="14" t="inlineStr">
        <is>
          <t>strength</t>
        </is>
      </c>
      <c r="F38" s="7" t="inlineStr">
        <is>
          <t>Strength B — Bulgarian split squat + hips and core</t>
        </is>
      </c>
      <c r="G38" s="5" t="inlineStr">
        <is>
          <t>45–55 min</t>
        </is>
      </c>
      <c r="H38" s="8" t="n"/>
      <c r="I38" s="9" t="n"/>
      <c r="J38" s="10" t="n"/>
      <c r="K38" s="11" t="n"/>
      <c r="L38" s="12" t="n"/>
      <c r="M38" s="10" t="n"/>
      <c r="N38" s="10" t="n"/>
      <c r="O38" s="13" t="n"/>
      <c r="P38" s="7" t="inlineStr">
        <is>
          <t>Bulgarian split squats slightly heavier. If the shins are talking after two runs this week, drop the step-ups and add a third set of soleus raises instead.</t>
        </is>
      </c>
    </row>
    <row r="39">
      <c r="A39" s="4" t="inlineStr">
        <is>
          <t>2026-10-09</t>
        </is>
      </c>
      <c r="B39" s="5" t="inlineStr">
        <is>
          <t>Fri</t>
        </is>
      </c>
      <c r="C39" s="5" t="n">
        <v>3</v>
      </c>
      <c r="D39" s="5" t="inlineStr">
        <is>
          <t>reset</t>
        </is>
      </c>
      <c r="E39" s="6" t="inlineStr">
        <is>
          <t>swim</t>
        </is>
      </c>
      <c r="F39" s="7" t="inlineStr">
        <is>
          <t>Swim — long aerobic 1,400</t>
        </is>
      </c>
      <c r="G39" s="5" t="inlineStr">
        <is>
          <t>2,300 yd · 51–68 min</t>
        </is>
      </c>
      <c r="H39" s="8" t="n">
        <v>2300</v>
      </c>
      <c r="I39" s="9" t="n"/>
      <c r="J39" s="10" t="n"/>
      <c r="K39" s="11" t="n"/>
      <c r="L39" s="12" t="n"/>
      <c r="M39" s="10" t="n"/>
      <c r="N39" s="10" t="n"/>
      <c r="O39" s="13" t="n"/>
      <c r="P39" s="7" t="inlineStr">
        <is>
          <t>Warm-up 300. Main: 1,400 continuous, then 4 × 100 at CSS on 2:20. Cool-down 300. Compare the HR drift on the 1,400 to Week 1's 1,000 — the target is a flatter curve, not a faster swim.</t>
        </is>
      </c>
    </row>
    <row r="40">
      <c r="A40" s="4" t="inlineStr">
        <is>
          <t>2026-10-10</t>
        </is>
      </c>
      <c r="B40" s="5" t="inlineStr">
        <is>
          <t>Sat</t>
        </is>
      </c>
      <c r="C40" s="5" t="n">
        <v>3</v>
      </c>
      <c r="D40" s="5" t="inlineStr">
        <is>
          <t>reset</t>
        </is>
      </c>
      <c r="E40" s="18" t="inlineStr">
        <is>
          <t>hike</t>
        </is>
      </c>
      <c r="F40" s="7" t="inlineStr">
        <is>
          <t>Weekend aerobic — long ride or hike</t>
        </is>
      </c>
      <c r="G40" s="5" t="inlineStr">
        <is>
          <t>2.5–3.5 hr</t>
        </is>
      </c>
      <c r="H40" s="8" t="n"/>
      <c r="I40" s="9" t="n"/>
      <c r="J40" s="10" t="n"/>
      <c r="K40" s="11" t="n"/>
      <c r="L40" s="12" t="n"/>
      <c r="M40" s="10" t="n"/>
      <c r="N40" s="10" t="n"/>
      <c r="O40" s="13" t="n"/>
      <c r="P40" s="7" t="inlineStr">
        <is>
          <t>Last of the good fall weather. If it is a hike, take the pack with 10–15 lb. If it is a ride, keep it endurance-paced.</t>
        </is>
      </c>
    </row>
    <row r="41">
      <c r="A41" s="4" t="inlineStr">
        <is>
          <t>2026-10-10</t>
        </is>
      </c>
      <c r="B41" s="5" t="inlineStr">
        <is>
          <t>Sat</t>
        </is>
      </c>
      <c r="C41" s="5" t="n">
        <v>3</v>
      </c>
      <c r="D41" s="5" t="inlineStr">
        <is>
          <t>reset</t>
        </is>
      </c>
      <c r="E41" s="6" t="inlineStr">
        <is>
          <t>swim</t>
        </is>
      </c>
      <c r="F41" s="7" t="inlineStr">
        <is>
          <t>Technique swim (short)</t>
        </is>
      </c>
      <c r="G41" s="5" t="inlineStr">
        <is>
          <t>1,100 yd · 24–32 min</t>
        </is>
      </c>
      <c r="H41" s="8" t="n">
        <v>1100</v>
      </c>
      <c r="I41" s="9" t="n"/>
      <c r="J41" s="10" t="n"/>
      <c r="K41" s="11" t="n"/>
      <c r="L41" s="12" t="n"/>
      <c r="M41" s="10" t="n"/>
      <c r="N41" s="10" t="n"/>
      <c r="O41" s="13" t="n"/>
      <c r="P41" s="7" t="inlineStr">
        <is>
          <t>No clock, no main set. Snorkel and fins for the first half, then easy 50s holding the feel. This session exists to raise frequency and keep the stroke fresh — leave the pool fresher than you arrived.</t>
        </is>
      </c>
    </row>
    <row r="42">
      <c r="A42" s="4" t="inlineStr">
        <is>
          <t>2026-10-11</t>
        </is>
      </c>
      <c r="B42" s="5" t="inlineStr">
        <is>
          <t>Sun</t>
        </is>
      </c>
      <c r="C42" s="5" t="n">
        <v>3</v>
      </c>
      <c r="D42" s="5" t="inlineStr">
        <is>
          <t>reset</t>
        </is>
      </c>
      <c r="E42" s="16" t="inlineStr">
        <is>
          <t>recovery</t>
        </is>
      </c>
      <c r="F42" s="7" t="inlineStr">
        <is>
          <t>Mobility + lower-leg prehab</t>
        </is>
      </c>
      <c r="G42" s="5" t="inlineStr">
        <is>
          <t>25 min</t>
        </is>
      </c>
      <c r="H42" s="8" t="n"/>
      <c r="I42" s="9" t="n"/>
      <c r="J42" s="10" t="n"/>
      <c r="K42" s="11" t="n"/>
      <c r="L42" s="12" t="n"/>
      <c r="M42" s="10" t="n"/>
      <c r="N42" s="10" t="n"/>
      <c r="O42" s="13" t="n"/>
      <c r="P42" s="7" t="inlineStr">
        <is>
          <t>Full mobility plus foot intrinsics and knee-to-wall check. End of the reset phase — take stock: CSS number, FTP number, shins quiet?</t>
        </is>
      </c>
    </row>
    <row r="43">
      <c r="A43" s="4" t="inlineStr">
        <is>
          <t>2026-10-12</t>
        </is>
      </c>
      <c r="B43" s="5" t="inlineStr">
        <is>
          <t>Mon</t>
        </is>
      </c>
      <c r="C43" s="5" t="n">
        <v>4</v>
      </c>
      <c r="D43" s="5" t="inlineStr">
        <is>
          <t>build1</t>
        </is>
      </c>
      <c r="E43" s="6" t="inlineStr">
        <is>
          <t>swim</t>
        </is>
      </c>
      <c r="F43" s="7" t="inlineStr">
        <is>
          <t>Swim — threshold 12 × 100</t>
        </is>
      </c>
      <c r="G43" s="5" t="inlineStr">
        <is>
          <t>2,500 yd · 56–74 min</t>
        </is>
      </c>
      <c r="H43" s="8" t="n">
        <v>2500</v>
      </c>
      <c r="I43" s="9" t="n"/>
      <c r="J43" s="10" t="n"/>
      <c r="K43" s="11" t="n"/>
      <c r="L43" s="12" t="n"/>
      <c r="M43" s="10" t="n"/>
      <c r="N43" s="10" t="n"/>
      <c r="O43" s="13" t="n"/>
      <c r="P43" s="7" t="inlineStr">
        <is>
          <t>Warm-up 400. Drill 400. Main: 12 × 100 at CSS on 2:15. Cool-down 300. Log the stroke count on the 100 that felt best — that number is your technique feedback loop for the rest of the block.</t>
        </is>
      </c>
    </row>
    <row r="44">
      <c r="A44" s="4" t="inlineStr">
        <is>
          <t>2026-10-12</t>
        </is>
      </c>
      <c r="B44" s="5" t="inlineStr">
        <is>
          <t>Mon</t>
        </is>
      </c>
      <c r="C44" s="5" t="n">
        <v>4</v>
      </c>
      <c r="D44" s="5" t="inlineStr">
        <is>
          <t>build1</t>
        </is>
      </c>
      <c r="E44" s="14" t="inlineStr">
        <is>
          <t>strength</t>
        </is>
      </c>
      <c r="F44" s="7" t="inlineStr">
        <is>
          <t>Strength A — RDL + posterior chain</t>
        </is>
      </c>
      <c r="G44" s="5" t="inlineStr">
        <is>
          <t>45–55 min</t>
        </is>
      </c>
      <c r="H44" s="8" t="n"/>
      <c r="I44" s="9" t="n"/>
      <c r="J44" s="10" t="n"/>
      <c r="K44" s="11" t="n"/>
      <c r="L44" s="12" t="n"/>
      <c r="M44" s="10" t="n"/>
      <c r="N44" s="10" t="n"/>
      <c r="O44" s="13" t="n"/>
      <c r="P44" s="7" t="inlineStr">
        <is>
          <t>Full session, progressing loads. Keep the tibialis raises at 3 × 20 — they matter more now that running is climbing.</t>
        </is>
      </c>
    </row>
    <row r="45">
      <c r="A45" s="4" t="inlineStr">
        <is>
          <t>2026-10-13</t>
        </is>
      </c>
      <c r="B45" s="5" t="inlineStr">
        <is>
          <t>Tue</t>
        </is>
      </c>
      <c r="C45" s="5" t="n">
        <v>4</v>
      </c>
      <c r="D45" s="5" t="inlineStr">
        <is>
          <t>build1</t>
        </is>
      </c>
      <c r="E45" s="15" t="inlineStr">
        <is>
          <t>run</t>
        </is>
      </c>
      <c r="F45" s="7" t="inlineStr">
        <is>
          <t>Easy run — 5 km</t>
        </is>
      </c>
      <c r="G45" s="5" t="inlineStr">
        <is>
          <t>30–35 min</t>
        </is>
      </c>
      <c r="H45" s="8" t="n"/>
      <c r="I45" s="9" t="n">
        <v>5</v>
      </c>
      <c r="J45" s="10" t="n"/>
      <c r="K45" s="11" t="n"/>
      <c r="L45" s="12" t="n"/>
      <c r="M45" s="10" t="n"/>
      <c r="N45" s="10" t="n"/>
      <c r="O45" s="13" t="n"/>
      <c r="P45" s="7" t="inlineStr">
        <is>
          <t>Second week in the orthotics. Calves will be working differently; that is adaptation, not injury. Track or soft trail.</t>
        </is>
      </c>
    </row>
    <row r="46">
      <c r="A46" s="4" t="inlineStr">
        <is>
          <t>2026-10-13</t>
        </is>
      </c>
      <c r="B46" s="5" t="inlineStr">
        <is>
          <t>Tue</t>
        </is>
      </c>
      <c r="C46" s="5" t="n">
        <v>4</v>
      </c>
      <c r="D46" s="5" t="inlineStr">
        <is>
          <t>build1</t>
        </is>
      </c>
      <c r="E46" s="16" t="inlineStr">
        <is>
          <t>recovery</t>
        </is>
      </c>
      <c r="F46" s="7" t="inlineStr">
        <is>
          <t>Mobility + lower-leg prehab</t>
        </is>
      </c>
      <c r="G46" s="5" t="inlineStr">
        <is>
          <t>15 min</t>
        </is>
      </c>
      <c r="H46" s="8" t="n"/>
      <c r="I46" s="9" t="n"/>
      <c r="J46" s="10" t="n"/>
      <c r="K46" s="11" t="n"/>
      <c r="L46" s="12" t="n"/>
      <c r="M46" s="10" t="n"/>
      <c r="N46" s="10" t="n"/>
      <c r="O46" s="13" t="n"/>
      <c r="P46" s="7" t="inlineStr">
        <is>
          <t>Ankle dorsiflexion (knee-to-wall), calf and soleus stretch, hip flexors, thoracic rotation, and 3 × 20 tibialis raises. Ten minutes of this beats an hour once a month.</t>
        </is>
      </c>
    </row>
    <row r="47">
      <c r="A47" s="4" t="inlineStr">
        <is>
          <t>2026-10-14</t>
        </is>
      </c>
      <c r="B47" s="5" t="inlineStr">
        <is>
          <t>Wed</t>
        </is>
      </c>
      <c r="C47" s="5" t="n">
        <v>4</v>
      </c>
      <c r="D47" s="5" t="inlineStr">
        <is>
          <t>build1</t>
        </is>
      </c>
      <c r="E47" s="6" t="inlineStr">
        <is>
          <t>swim</t>
        </is>
      </c>
      <c r="F47" s="7" t="inlineStr">
        <is>
          <t>Swim — speed 4 × (4 × 50)</t>
        </is>
      </c>
      <c r="G47" s="5" t="inlineStr">
        <is>
          <t>2,200 yd · 49–65 min</t>
        </is>
      </c>
      <c r="H47" s="8" t="n">
        <v>2200</v>
      </c>
      <c r="I47" s="9" t="n"/>
      <c r="J47" s="10" t="n"/>
      <c r="K47" s="11" t="n"/>
      <c r="L47" s="12" t="n"/>
      <c r="M47" s="10" t="n"/>
      <c r="N47" s="10" t="n"/>
      <c r="O47" s="13" t="n"/>
      <c r="P47" s="7" t="inlineStr">
        <is>
          <t>Warm-up 300. Drill 400 with front scull and single-arm, extra 50 on the left-breathing side. Main: 4 rounds of 4 × 50 on 1:05, descending 1 to 4 within each round, 45 s between rounds. Then 4 × 50 breaststroke. Cool-down 200.</t>
        </is>
      </c>
    </row>
    <row r="48">
      <c r="A48" s="4" t="inlineStr">
        <is>
          <t>2026-10-14</t>
        </is>
      </c>
      <c r="B48" s="5" t="inlineStr">
        <is>
          <t>Wed</t>
        </is>
      </c>
      <c r="C48" s="5" t="n">
        <v>4</v>
      </c>
      <c r="D48" s="5" t="inlineStr">
        <is>
          <t>build1</t>
        </is>
      </c>
      <c r="E48" s="17" t="inlineStr">
        <is>
          <t>bike</t>
        </is>
      </c>
      <c r="F48" s="7" t="inlineStr">
        <is>
          <t>Spin bike — sweet spot 3 × 10 min</t>
        </is>
      </c>
      <c r="G48" s="5" t="inlineStr">
        <is>
          <t>55 min</t>
        </is>
      </c>
      <c r="H48" s="8" t="n"/>
      <c r="I48" s="9" t="n"/>
      <c r="J48" s="10" t="n"/>
      <c r="K48" s="11" t="n"/>
      <c r="L48" s="12" t="n"/>
      <c r="M48" s="10" t="n"/>
      <c r="N48" s="10" t="n"/>
      <c r="O48" s="13" t="n"/>
      <c r="P48" s="7" t="inlineStr">
        <is>
          <t>3 × 10 min at 88–93% FTP, 4 min easy between. Hold cadence above 85.</t>
        </is>
      </c>
    </row>
    <row r="49">
      <c r="A49" s="4" t="inlineStr">
        <is>
          <t>2026-10-15</t>
        </is>
      </c>
      <c r="B49" s="5" t="inlineStr">
        <is>
          <t>Thu</t>
        </is>
      </c>
      <c r="C49" s="5" t="n">
        <v>4</v>
      </c>
      <c r="D49" s="5" t="inlineStr">
        <is>
          <t>build1</t>
        </is>
      </c>
      <c r="E49" s="15" t="inlineStr">
        <is>
          <t>run</t>
        </is>
      </c>
      <c r="F49" s="7" t="inlineStr">
        <is>
          <t>Easy run — 6 km</t>
        </is>
      </c>
      <c r="G49" s="5" t="inlineStr">
        <is>
          <t>38–42 min</t>
        </is>
      </c>
      <c r="H49" s="8" t="n"/>
      <c r="I49" s="9" t="n">
        <v>6</v>
      </c>
      <c r="J49" s="10" t="n"/>
      <c r="K49" s="11" t="n"/>
      <c r="L49" s="12" t="n"/>
      <c r="M49" s="10" t="n"/>
      <c r="N49" s="10" t="n"/>
      <c r="O49" s="13" t="n"/>
      <c r="P49" s="7" t="inlineStr">
        <is>
          <t>Long run of the week. Flat, soft surface, conversational the whole way. Do not let a good day turn this into 8 km.</t>
        </is>
      </c>
    </row>
    <row r="50">
      <c r="A50" s="4" t="inlineStr">
        <is>
          <t>2026-10-15</t>
        </is>
      </c>
      <c r="B50" s="5" t="inlineStr">
        <is>
          <t>Thu</t>
        </is>
      </c>
      <c r="C50" s="5" t="n">
        <v>4</v>
      </c>
      <c r="D50" s="5" t="inlineStr">
        <is>
          <t>build1</t>
        </is>
      </c>
      <c r="E50" s="14" t="inlineStr">
        <is>
          <t>strength</t>
        </is>
      </c>
      <c r="F50" s="7" t="inlineStr">
        <is>
          <t>Strength B — Bulgarian split squat + hips and core</t>
        </is>
      </c>
      <c r="G50" s="5" t="inlineStr">
        <is>
          <t>45–55 min</t>
        </is>
      </c>
      <c r="H50" s="8" t="n"/>
      <c r="I50" s="9" t="n"/>
      <c r="J50" s="10" t="n"/>
      <c r="K50" s="11" t="n"/>
      <c r="L50" s="12" t="n"/>
      <c r="M50" s="10" t="n"/>
      <c r="N50" s="10" t="n"/>
      <c r="O50" s="13" t="n"/>
      <c r="P50" s="7" t="inlineStr">
        <is>
          <t>Progress the split squat. Copenhagen planks should be getting easier — extend the lever (foot on bench) when 30 s feels controlled.</t>
        </is>
      </c>
    </row>
    <row r="51">
      <c r="A51" s="4" t="inlineStr">
        <is>
          <t>2026-10-16</t>
        </is>
      </c>
      <c r="B51" s="5" t="inlineStr">
        <is>
          <t>Fri</t>
        </is>
      </c>
      <c r="C51" s="5" t="n">
        <v>4</v>
      </c>
      <c r="D51" s="5" t="inlineStr">
        <is>
          <t>build1</t>
        </is>
      </c>
      <c r="E51" s="6" t="inlineStr">
        <is>
          <t>swim</t>
        </is>
      </c>
      <c r="F51" s="7" t="inlineStr">
        <is>
          <t>Swim — long aerobic 1,600</t>
        </is>
      </c>
      <c r="G51" s="5" t="inlineStr">
        <is>
          <t>2,600 yd · 58–76 min</t>
        </is>
      </c>
      <c r="H51" s="8" t="n">
        <v>2600</v>
      </c>
      <c r="I51" s="9" t="n"/>
      <c r="J51" s="10" t="n"/>
      <c r="K51" s="11" t="n"/>
      <c r="L51" s="12" t="n"/>
      <c r="M51" s="10" t="n"/>
      <c r="N51" s="10" t="n"/>
      <c r="O51" s="13" t="n"/>
      <c r="P51" s="7" t="inlineStr">
        <is>
          <t>Warm-up 300. Main: 1,600 continuous, then 6 × 100 at CSS on 2:20. Cool-down 300. First time over 1,500 continuous in a 25 yd pool — settle in and let it be boring.</t>
        </is>
      </c>
    </row>
    <row r="52">
      <c r="A52" s="4" t="inlineStr">
        <is>
          <t>2026-10-17</t>
        </is>
      </c>
      <c r="B52" s="5" t="inlineStr">
        <is>
          <t>Sat</t>
        </is>
      </c>
      <c r="C52" s="5" t="n">
        <v>4</v>
      </c>
      <c r="D52" s="5" t="inlineStr">
        <is>
          <t>build1</t>
        </is>
      </c>
      <c r="E52" s="18" t="inlineStr">
        <is>
          <t>hike</t>
        </is>
      </c>
      <c r="F52" s="7" t="inlineStr">
        <is>
          <t>Stairmaster + 15 lb pack</t>
        </is>
      </c>
      <c r="G52" s="5" t="inlineStr">
        <is>
          <t>45 min</t>
        </is>
      </c>
      <c r="H52" s="8" t="n"/>
      <c r="I52" s="9" t="n"/>
      <c r="J52" s="10" t="n"/>
      <c r="K52" s="11" t="n"/>
      <c r="L52" s="12" t="n"/>
      <c r="M52" s="10" t="n"/>
      <c r="N52" s="10" t="n"/>
      <c r="O52" s="13" t="n"/>
      <c r="P52" s="7" t="inlineStr">
        <is>
          <t>Steady 45 min at 15 lb. Rainier maintenance continues biweekly through the block.</t>
        </is>
      </c>
    </row>
    <row r="53">
      <c r="A53" s="4" t="inlineStr">
        <is>
          <t>2026-10-17</t>
        </is>
      </c>
      <c r="B53" s="5" t="inlineStr">
        <is>
          <t>Sat</t>
        </is>
      </c>
      <c r="C53" s="5" t="n">
        <v>4</v>
      </c>
      <c r="D53" s="5" t="inlineStr">
        <is>
          <t>build1</t>
        </is>
      </c>
      <c r="E53" s="6" t="inlineStr">
        <is>
          <t>swim</t>
        </is>
      </c>
      <c r="F53" s="7" t="inlineStr">
        <is>
          <t>Technique swim (short)</t>
        </is>
      </c>
      <c r="G53" s="5" t="inlineStr">
        <is>
          <t>1,200 yd · 27–35 min</t>
        </is>
      </c>
      <c r="H53" s="8" t="n">
        <v>1200</v>
      </c>
      <c r="I53" s="9" t="n"/>
      <c r="J53" s="10" t="n"/>
      <c r="K53" s="11" t="n"/>
      <c r="L53" s="12" t="n"/>
      <c r="M53" s="10" t="n"/>
      <c r="N53" s="10" t="n"/>
      <c r="O53" s="13" t="n"/>
      <c r="P53" s="7" t="inlineStr">
        <is>
          <t>No clock, no main set. Snorkel and fins for the first half, then easy 50s holding the feel. This session exists to raise frequency and keep the stroke fresh — leave the pool fresher than you arrived.</t>
        </is>
      </c>
    </row>
    <row r="54">
      <c r="A54" s="4" t="inlineStr">
        <is>
          <t>2026-10-18</t>
        </is>
      </c>
      <c r="B54" s="5" t="inlineStr">
        <is>
          <t>Sun</t>
        </is>
      </c>
      <c r="C54" s="5" t="n">
        <v>4</v>
      </c>
      <c r="D54" s="5" t="inlineStr">
        <is>
          <t>build1</t>
        </is>
      </c>
      <c r="E54" s="17" t="inlineStr">
        <is>
          <t>bike</t>
        </is>
      </c>
      <c r="F54" s="7" t="inlineStr">
        <is>
          <t>Endurance ride — Z2</t>
        </is>
      </c>
      <c r="G54" s="5" t="inlineStr">
        <is>
          <t>75–90 min</t>
        </is>
      </c>
      <c r="H54" s="8" t="n"/>
      <c r="I54" s="9" t="n"/>
      <c r="J54" s="10" t="n"/>
      <c r="K54" s="11" t="n"/>
      <c r="L54" s="12" t="n"/>
      <c r="M54" s="10" t="n"/>
      <c r="N54" s="10" t="n"/>
      <c r="O54" s="13" t="n"/>
      <c r="P54" s="7" t="inlineStr">
        <is>
          <t>Outdoors if the weather cooperates, spin bike if not. Steady 130–145 bpm.</t>
        </is>
      </c>
    </row>
    <row r="55">
      <c r="A55" s="4" t="inlineStr">
        <is>
          <t>2026-10-18</t>
        </is>
      </c>
      <c r="B55" s="5" t="inlineStr">
        <is>
          <t>Sun</t>
        </is>
      </c>
      <c r="C55" s="5" t="n">
        <v>4</v>
      </c>
      <c r="D55" s="5" t="inlineStr">
        <is>
          <t>build1</t>
        </is>
      </c>
      <c r="E55" s="16" t="inlineStr">
        <is>
          <t>recovery</t>
        </is>
      </c>
      <c r="F55" s="7" t="inlineStr">
        <is>
          <t>Mobility + lower-leg prehab</t>
        </is>
      </c>
      <c r="G55" s="5" t="inlineStr">
        <is>
          <t>20 min</t>
        </is>
      </c>
      <c r="H55" s="8" t="n"/>
      <c r="I55" s="9" t="n"/>
      <c r="J55" s="10" t="n"/>
      <c r="K55" s="11" t="n"/>
      <c r="L55" s="12" t="n"/>
      <c r="M55" s="10" t="n"/>
      <c r="N55" s="10" t="n"/>
      <c r="O55" s="13" t="n"/>
      <c r="P55" s="7" t="inlineStr">
        <is>
          <t>Mobility plus foot intrinsics.</t>
        </is>
      </c>
    </row>
    <row r="56">
      <c r="A56" s="4" t="inlineStr">
        <is>
          <t>2026-10-19</t>
        </is>
      </c>
      <c r="B56" s="5" t="inlineStr">
        <is>
          <t>Mon</t>
        </is>
      </c>
      <c r="C56" s="5" t="n">
        <v>5</v>
      </c>
      <c r="D56" s="5" t="inlineStr">
        <is>
          <t>build1</t>
        </is>
      </c>
      <c r="E56" s="6" t="inlineStr">
        <is>
          <t>swim</t>
        </is>
      </c>
      <c r="F56" s="7" t="inlineStr">
        <is>
          <t>Swim — threshold 4 × 300</t>
        </is>
      </c>
      <c r="G56" s="5" t="inlineStr">
        <is>
          <t>2,700 yd · 60–79 min</t>
        </is>
      </c>
      <c r="H56" s="8" t="n">
        <v>2700</v>
      </c>
      <c r="I56" s="9" t="n"/>
      <c r="J56" s="10" t="n"/>
      <c r="K56" s="11" t="n"/>
      <c r="L56" s="12" t="n"/>
      <c r="M56" s="10" t="n"/>
      <c r="N56" s="10" t="n"/>
      <c r="O56" s="13" t="n"/>
      <c r="P56" s="7" t="inlineStr">
        <is>
          <t>Warm-up 400. Drill 400. Main: 4 × 300 at CSS on 6:45. Cool-down 300. The longest threshold reps yet. Pace the first 100 of each 300 deliberately slow — going out hard is what has been capping these.</t>
        </is>
      </c>
    </row>
    <row r="57">
      <c r="A57" s="4" t="inlineStr">
        <is>
          <t>2026-10-19</t>
        </is>
      </c>
      <c r="B57" s="5" t="inlineStr">
        <is>
          <t>Mon</t>
        </is>
      </c>
      <c r="C57" s="5" t="n">
        <v>5</v>
      </c>
      <c r="D57" s="5" t="inlineStr">
        <is>
          <t>build1</t>
        </is>
      </c>
      <c r="E57" s="14" t="inlineStr">
        <is>
          <t>strength</t>
        </is>
      </c>
      <c r="F57" s="7" t="inlineStr">
        <is>
          <t>Strength A — RDL + posterior chain</t>
        </is>
      </c>
      <c r="G57" s="5" t="inlineStr">
        <is>
          <t>45–55 min</t>
        </is>
      </c>
      <c r="H57" s="8" t="n"/>
      <c r="I57" s="9" t="n"/>
      <c r="J57" s="10" t="n"/>
      <c r="K57" s="11" t="n"/>
      <c r="L57" s="12" t="n"/>
      <c r="M57" s="10" t="n"/>
      <c r="N57" s="10" t="n"/>
      <c r="O57" s="13" t="n"/>
      <c r="P57" s="7" t="inlineStr">
        <is>
          <t>Standard Strength A.</t>
        </is>
      </c>
    </row>
    <row r="58">
      <c r="A58" s="4" t="inlineStr">
        <is>
          <t>2026-10-20</t>
        </is>
      </c>
      <c r="B58" s="5" t="inlineStr">
        <is>
          <t>Tue</t>
        </is>
      </c>
      <c r="C58" s="5" t="n">
        <v>5</v>
      </c>
      <c r="D58" s="5" t="inlineStr">
        <is>
          <t>build1</t>
        </is>
      </c>
      <c r="E58" s="15" t="inlineStr">
        <is>
          <t>run</t>
        </is>
      </c>
      <c r="F58" s="7" t="inlineStr">
        <is>
          <t>Easy run — 4 km</t>
        </is>
      </c>
      <c r="G58" s="5" t="inlineStr">
        <is>
          <t>25–28 min</t>
        </is>
      </c>
      <c r="H58" s="8" t="n"/>
      <c r="I58" s="9" t="n">
        <v>4</v>
      </c>
      <c r="J58" s="10" t="n"/>
      <c r="K58" s="11" t="n"/>
      <c r="L58" s="12" t="n"/>
      <c r="M58" s="10" t="n"/>
      <c r="N58" s="10" t="n"/>
      <c r="O58" s="13" t="n"/>
      <c r="P58" s="7" t="inlineStr">
        <is>
          <t>Short and easy. Three runs this week, all short — frequency is the adaptation we want, not distance.</t>
        </is>
      </c>
    </row>
    <row r="59">
      <c r="A59" s="4" t="inlineStr">
        <is>
          <t>2026-10-20</t>
        </is>
      </c>
      <c r="B59" s="5" t="inlineStr">
        <is>
          <t>Tue</t>
        </is>
      </c>
      <c r="C59" s="5" t="n">
        <v>5</v>
      </c>
      <c r="D59" s="5" t="inlineStr">
        <is>
          <t>build1</t>
        </is>
      </c>
      <c r="E59" s="16" t="inlineStr">
        <is>
          <t>recovery</t>
        </is>
      </c>
      <c r="F59" s="7" t="inlineStr">
        <is>
          <t>Mobility + lower-leg prehab</t>
        </is>
      </c>
      <c r="G59" s="5" t="inlineStr">
        <is>
          <t>15 min</t>
        </is>
      </c>
      <c r="H59" s="8" t="n"/>
      <c r="I59" s="9" t="n"/>
      <c r="J59" s="10" t="n"/>
      <c r="K59" s="11" t="n"/>
      <c r="L59" s="12" t="n"/>
      <c r="M59" s="10" t="n"/>
      <c r="N59" s="10" t="n"/>
      <c r="O59" s="13" t="n"/>
      <c r="P59" s="7" t="inlineStr">
        <is>
          <t>Ankle dorsiflexion (knee-to-wall), calf and soleus stretch, hip flexors, thoracic rotation, and 3 × 20 tibialis raises. Ten minutes of this beats an hour once a month.</t>
        </is>
      </c>
    </row>
    <row r="60">
      <c r="A60" s="4" t="inlineStr">
        <is>
          <t>2026-10-21</t>
        </is>
      </c>
      <c r="B60" s="5" t="inlineStr">
        <is>
          <t>Wed</t>
        </is>
      </c>
      <c r="C60" s="5" t="n">
        <v>5</v>
      </c>
      <c r="D60" s="5" t="inlineStr">
        <is>
          <t>build1</t>
        </is>
      </c>
      <c r="E60" s="6" t="inlineStr">
        <is>
          <t>swim</t>
        </is>
      </c>
      <c r="F60" s="7" t="inlineStr">
        <is>
          <t>Swim — speed 24 × 50 + first paddles</t>
        </is>
      </c>
      <c r="G60" s="5" t="inlineStr">
        <is>
          <t>2,400 yd · 53–71 min</t>
        </is>
      </c>
      <c r="H60" s="8" t="n">
        <v>2400</v>
      </c>
      <c r="I60" s="9" t="n"/>
      <c r="J60" s="10" t="n"/>
      <c r="K60" s="11" t="n"/>
      <c r="L60" s="12" t="n"/>
      <c r="M60" s="10" t="n"/>
      <c r="N60" s="10" t="n"/>
      <c r="O60" s="13" t="n"/>
      <c r="P60" s="7" t="inlineStr">
        <is>
          <t>Warm-up 300. Drill 400. PADDLES: 400 pull with small paddles and buoy, easy, holding the catch — stop immediately if the shoulder complains. Main: 24 × 50 on 1:05, alternating aerobic and fast. Then 4 × 50 breaststroke. Cool-down 200.</t>
        </is>
      </c>
    </row>
    <row r="61">
      <c r="A61" s="4" t="inlineStr">
        <is>
          <t>2026-10-21</t>
        </is>
      </c>
      <c r="B61" s="5" t="inlineStr">
        <is>
          <t>Wed</t>
        </is>
      </c>
      <c r="C61" s="5" t="n">
        <v>5</v>
      </c>
      <c r="D61" s="5" t="inlineStr">
        <is>
          <t>build1</t>
        </is>
      </c>
      <c r="E61" s="17" t="inlineStr">
        <is>
          <t>bike</t>
        </is>
      </c>
      <c r="F61" s="7" t="inlineStr">
        <is>
          <t>Spin bike — threshold 4 × 8 min</t>
        </is>
      </c>
      <c r="G61" s="5" t="inlineStr">
        <is>
          <t>55 min</t>
        </is>
      </c>
      <c r="H61" s="8" t="n"/>
      <c r="I61" s="9" t="n"/>
      <c r="J61" s="10" t="n"/>
      <c r="K61" s="11" t="n"/>
      <c r="L61" s="12" t="n"/>
      <c r="M61" s="10" t="n"/>
      <c r="N61" s="10" t="n"/>
      <c r="O61" s="13" t="n"/>
      <c r="P61" s="7" t="inlineStr">
        <is>
          <t>4 × 8 min at 95–100% FTP, 3 min easy between. 155–165 bpm.</t>
        </is>
      </c>
    </row>
    <row r="62">
      <c r="A62" s="4" t="inlineStr">
        <is>
          <t>2026-10-22</t>
        </is>
      </c>
      <c r="B62" s="5" t="inlineStr">
        <is>
          <t>Thu</t>
        </is>
      </c>
      <c r="C62" s="5" t="n">
        <v>5</v>
      </c>
      <c r="D62" s="5" t="inlineStr">
        <is>
          <t>build1</t>
        </is>
      </c>
      <c r="E62" s="15" t="inlineStr">
        <is>
          <t>run</t>
        </is>
      </c>
      <c r="F62" s="7" t="inlineStr">
        <is>
          <t>Easy run — 4 km + strides</t>
        </is>
      </c>
      <c r="G62" s="5" t="inlineStr">
        <is>
          <t>28–30 min</t>
        </is>
      </c>
      <c r="H62" s="8" t="n"/>
      <c r="I62" s="9" t="n">
        <v>4</v>
      </c>
      <c r="J62" s="10" t="n"/>
      <c r="K62" s="11" t="n"/>
      <c r="L62" s="12" t="n"/>
      <c r="M62" s="10" t="n"/>
      <c r="N62" s="10" t="n"/>
      <c r="O62" s="13" t="n"/>
      <c r="P62" s="7" t="inlineStr">
        <is>
          <t>Second short run. Finish with 6 × 20 s strides on grass.</t>
        </is>
      </c>
    </row>
    <row r="63">
      <c r="A63" s="4" t="inlineStr">
        <is>
          <t>2026-10-22</t>
        </is>
      </c>
      <c r="B63" s="5" t="inlineStr">
        <is>
          <t>Thu</t>
        </is>
      </c>
      <c r="C63" s="5" t="n">
        <v>5</v>
      </c>
      <c r="D63" s="5" t="inlineStr">
        <is>
          <t>build1</t>
        </is>
      </c>
      <c r="E63" s="14" t="inlineStr">
        <is>
          <t>strength</t>
        </is>
      </c>
      <c r="F63" s="7" t="inlineStr">
        <is>
          <t>Strength B — Bulgarian split squat + hips and core</t>
        </is>
      </c>
      <c r="G63" s="5" t="inlineStr">
        <is>
          <t>45–55 min</t>
        </is>
      </c>
      <c r="H63" s="8" t="n"/>
      <c r="I63" s="9" t="n"/>
      <c r="J63" s="10" t="n"/>
      <c r="K63" s="11" t="n"/>
      <c r="L63" s="12" t="n"/>
      <c r="M63" s="10" t="n"/>
      <c r="N63" s="10" t="n"/>
      <c r="O63" s="13" t="n"/>
      <c r="P63" s="7" t="inlineStr">
        <is>
          <t>Standard Strength B.</t>
        </is>
      </c>
    </row>
    <row r="64">
      <c r="A64" s="4" t="inlineStr">
        <is>
          <t>2026-10-23</t>
        </is>
      </c>
      <c r="B64" s="5" t="inlineStr">
        <is>
          <t>Fri</t>
        </is>
      </c>
      <c r="C64" s="5" t="n">
        <v>5</v>
      </c>
      <c r="D64" s="5" t="inlineStr">
        <is>
          <t>build1</t>
        </is>
      </c>
      <c r="E64" s="6" t="inlineStr">
        <is>
          <t>swim</t>
        </is>
      </c>
      <c r="F64" s="7" t="inlineStr">
        <is>
          <t>Swim — long aerobic 1,800</t>
        </is>
      </c>
      <c r="G64" s="5" t="inlineStr">
        <is>
          <t>2,800 yd · 62–82 min</t>
        </is>
      </c>
      <c r="H64" s="8" t="n">
        <v>2800</v>
      </c>
      <c r="I64" s="9" t="n"/>
      <c r="J64" s="10" t="n"/>
      <c r="K64" s="11" t="n"/>
      <c r="L64" s="12" t="n"/>
      <c r="M64" s="10" t="n"/>
      <c r="N64" s="10" t="n"/>
      <c r="O64" s="13" t="n"/>
      <c r="P64" s="7" t="inlineStr">
        <is>
          <t>Warm-up 300. Main: 1,800 continuous, then 6 × 100 at CSS on 2:20. Cool-down 300. Biggest swim week so far — roughly 9,000 yd. If the shoulders are tired, drop the 6 × 100 rather than the continuous swim.</t>
        </is>
      </c>
    </row>
    <row r="65">
      <c r="A65" s="4" t="inlineStr">
        <is>
          <t>2026-10-24</t>
        </is>
      </c>
      <c r="B65" s="5" t="inlineStr">
        <is>
          <t>Sat</t>
        </is>
      </c>
      <c r="C65" s="5" t="n">
        <v>5</v>
      </c>
      <c r="D65" s="5" t="inlineStr">
        <is>
          <t>build1</t>
        </is>
      </c>
      <c r="E65" s="18" t="inlineStr">
        <is>
          <t>hike</t>
        </is>
      </c>
      <c r="F65" s="7" t="inlineStr">
        <is>
          <t>Weekend aerobic — long ride or hike</t>
        </is>
      </c>
      <c r="G65" s="5" t="inlineStr">
        <is>
          <t>2.5–3.5 hr</t>
        </is>
      </c>
      <c r="H65" s="8" t="n"/>
      <c r="I65" s="9" t="n"/>
      <c r="J65" s="10" t="n"/>
      <c r="K65" s="11" t="n"/>
      <c r="L65" s="12" t="n"/>
      <c r="M65" s="10" t="n"/>
      <c r="N65" s="10" t="n"/>
      <c r="O65" s="13" t="n"/>
      <c r="P65" s="7" t="inlineStr">
        <is>
          <t>Pack 15 lb if hiking.</t>
        </is>
      </c>
    </row>
    <row r="66">
      <c r="A66" s="4" t="inlineStr">
        <is>
          <t>2026-10-24</t>
        </is>
      </c>
      <c r="B66" s="5" t="inlineStr">
        <is>
          <t>Sat</t>
        </is>
      </c>
      <c r="C66" s="5" t="n">
        <v>5</v>
      </c>
      <c r="D66" s="5" t="inlineStr">
        <is>
          <t>build1</t>
        </is>
      </c>
      <c r="E66" s="6" t="inlineStr">
        <is>
          <t>swim</t>
        </is>
      </c>
      <c r="F66" s="7" t="inlineStr">
        <is>
          <t>Technique swim (short)</t>
        </is>
      </c>
      <c r="G66" s="5" t="inlineStr">
        <is>
          <t>1,200 yd · 27–35 min</t>
        </is>
      </c>
      <c r="H66" s="8" t="n">
        <v>1200</v>
      </c>
      <c r="I66" s="9" t="n"/>
      <c r="J66" s="10" t="n"/>
      <c r="K66" s="11" t="n"/>
      <c r="L66" s="12" t="n"/>
      <c r="M66" s="10" t="n"/>
      <c r="N66" s="10" t="n"/>
      <c r="O66" s="13" t="n"/>
      <c r="P66" s="7" t="inlineStr">
        <is>
          <t>No clock, no main set. Snorkel and fins for the first half, then easy 50s holding the feel. This session exists to raise frequency and keep the stroke fresh — leave the pool fresher than you arrived.</t>
        </is>
      </c>
    </row>
    <row r="67">
      <c r="A67" s="4" t="inlineStr">
        <is>
          <t>2026-10-25</t>
        </is>
      </c>
      <c r="B67" s="5" t="inlineStr">
        <is>
          <t>Sun</t>
        </is>
      </c>
      <c r="C67" s="5" t="n">
        <v>5</v>
      </c>
      <c r="D67" s="5" t="inlineStr">
        <is>
          <t>build1</t>
        </is>
      </c>
      <c r="E67" s="15" t="inlineStr">
        <is>
          <t>run</t>
        </is>
      </c>
      <c r="F67" s="7" t="inlineStr">
        <is>
          <t>Easy run — 5 km</t>
        </is>
      </c>
      <c r="G67" s="5" t="inlineStr">
        <is>
          <t>35–38 min</t>
        </is>
      </c>
      <c r="H67" s="8" t="n"/>
      <c r="I67" s="9" t="n">
        <v>5</v>
      </c>
      <c r="J67" s="10" t="n"/>
      <c r="K67" s="11" t="n"/>
      <c r="L67" s="12" t="n"/>
      <c r="M67" s="10" t="n"/>
      <c r="N67" s="10" t="n"/>
      <c r="O67" s="13" t="n"/>
      <c r="P67" s="7" t="inlineStr">
        <is>
          <t>Third run of the week, easy. Longest of the three but still short.</t>
        </is>
      </c>
    </row>
    <row r="68">
      <c r="A68" s="4" t="inlineStr">
        <is>
          <t>2026-10-25</t>
        </is>
      </c>
      <c r="B68" s="5" t="inlineStr">
        <is>
          <t>Sun</t>
        </is>
      </c>
      <c r="C68" s="5" t="n">
        <v>5</v>
      </c>
      <c r="D68" s="5" t="inlineStr">
        <is>
          <t>build1</t>
        </is>
      </c>
      <c r="E68" s="16" t="inlineStr">
        <is>
          <t>recovery</t>
        </is>
      </c>
      <c r="F68" s="7" t="inlineStr">
        <is>
          <t>Mobility + lower-leg prehab</t>
        </is>
      </c>
      <c r="G68" s="5" t="inlineStr">
        <is>
          <t>20 min</t>
        </is>
      </c>
      <c r="H68" s="8" t="n"/>
      <c r="I68" s="9" t="n"/>
      <c r="J68" s="10" t="n"/>
      <c r="K68" s="11" t="n"/>
      <c r="L68" s="12" t="n"/>
      <c r="M68" s="10" t="n"/>
      <c r="N68" s="10" t="n"/>
      <c r="O68" s="13" t="n"/>
      <c r="P68" s="7" t="inlineStr">
        <is>
          <t>Mobility plus foot intrinsics. Pack for New York — running shoes, bands, goggles.</t>
        </is>
      </c>
    </row>
    <row r="69">
      <c r="A69" s="4" t="inlineStr">
        <is>
          <t>2026-10-26</t>
        </is>
      </c>
      <c r="B69" s="5" t="inlineStr">
        <is>
          <t>Mon</t>
        </is>
      </c>
      <c r="C69" s="5" t="n">
        <v>6</v>
      </c>
      <c r="D69" s="5" t="inlineStr">
        <is>
          <t>build1</t>
        </is>
      </c>
      <c r="E69" s="6" t="inlineStr">
        <is>
          <t>swim</t>
        </is>
      </c>
      <c r="F69" s="7" t="inlineStr">
        <is>
          <t>Swim — big front-load #1</t>
        </is>
      </c>
      <c r="G69" s="5" t="inlineStr">
        <is>
          <t>3,200 yd · 71–94 min</t>
        </is>
      </c>
      <c r="H69" s="8" t="n">
        <v>3200</v>
      </c>
      <c r="I69" s="9" t="n"/>
      <c r="J69" s="10" t="n"/>
      <c r="K69" s="11" t="n"/>
      <c r="L69" s="12" t="n"/>
      <c r="M69" s="10" t="n"/>
      <c r="N69" s="10" t="n"/>
      <c r="O69" s="13" t="n"/>
      <c r="P69" s="7" t="inlineStr">
        <is>
          <t>Warm-up 500. Drill 400. Main: 3 rounds of 6 × 100 at CSS on 2:15, 1 min between rounds (1,800 total). Cool-down 500. Long session, but you have five days out of the water coming — bank it.</t>
        </is>
      </c>
    </row>
    <row r="70">
      <c r="A70" s="4" t="inlineStr">
        <is>
          <t>2026-10-26</t>
        </is>
      </c>
      <c r="B70" s="5" t="inlineStr">
        <is>
          <t>Mon</t>
        </is>
      </c>
      <c r="C70" s="5" t="n">
        <v>6</v>
      </c>
      <c r="D70" s="5" t="inlineStr">
        <is>
          <t>build1</t>
        </is>
      </c>
      <c r="E70" s="14" t="inlineStr">
        <is>
          <t>strength</t>
        </is>
      </c>
      <c r="F70" s="7" t="inlineStr">
        <is>
          <t>Strength A — RDL + posterior chain</t>
        </is>
      </c>
      <c r="G70" s="5" t="inlineStr">
        <is>
          <t>45–55 min</t>
        </is>
      </c>
      <c r="H70" s="8" t="n"/>
      <c r="I70" s="9" t="n"/>
      <c r="J70" s="10" t="n"/>
      <c r="K70" s="11" t="n"/>
      <c r="L70" s="12" t="n"/>
      <c r="M70" s="10" t="n"/>
      <c r="N70" s="10" t="n"/>
      <c r="O70" s="13" t="n"/>
      <c r="P70" s="7" t="inlineStr">
        <is>
          <t>Full session before travel.</t>
        </is>
      </c>
    </row>
    <row r="71">
      <c r="A71" s="4" t="inlineStr">
        <is>
          <t>2026-10-27</t>
        </is>
      </c>
      <c r="B71" s="5" t="inlineStr">
        <is>
          <t>Tue</t>
        </is>
      </c>
      <c r="C71" s="5" t="n">
        <v>6</v>
      </c>
      <c r="D71" s="5" t="inlineStr">
        <is>
          <t>build1</t>
        </is>
      </c>
      <c r="E71" s="6" t="inlineStr">
        <is>
          <t>swim</t>
        </is>
      </c>
      <c r="F71" s="7" t="inlineStr">
        <is>
          <t>Swim — big front-load #2</t>
        </is>
      </c>
      <c r="G71" s="5" t="inlineStr">
        <is>
          <t>3,000 yd · 67–88 min</t>
        </is>
      </c>
      <c r="H71" s="8" t="n">
        <v>3000</v>
      </c>
      <c r="I71" s="9" t="n"/>
      <c r="J71" s="10" t="n"/>
      <c r="K71" s="11" t="n"/>
      <c r="L71" s="12" t="n"/>
      <c r="M71" s="10" t="n"/>
      <c r="N71" s="10" t="n"/>
      <c r="O71" s="13" t="n"/>
      <c r="P71" s="7" t="inlineStr">
        <is>
          <t>Warm-up 400. Drill 400. Main: 1,600 continuous aerobic, then 8 × 50 on 1:05. Cool-down 400. Morning session — flight is this evening. Two 3,000+ swims back to back keeps the weekly streak intact at 6,200 yd.</t>
        </is>
      </c>
    </row>
    <row r="72">
      <c r="A72" s="4" t="inlineStr">
        <is>
          <t>2026-10-27</t>
        </is>
      </c>
      <c r="B72" s="5" t="inlineStr">
        <is>
          <t>Tue</t>
        </is>
      </c>
      <c r="C72" s="5" t="n">
        <v>6</v>
      </c>
      <c r="D72" s="5" t="inlineStr">
        <is>
          <t>build1</t>
        </is>
      </c>
      <c r="E72" s="16" t="inlineStr">
        <is>
          <t>recovery</t>
        </is>
      </c>
      <c r="F72" s="7" t="inlineStr">
        <is>
          <t>Shakeout walk or easy spin</t>
        </is>
      </c>
      <c r="G72" s="5" t="inlineStr">
        <is>
          <t>25 min</t>
        </is>
      </c>
      <c r="H72" s="8" t="n"/>
      <c r="I72" s="9" t="n"/>
      <c r="J72" s="10" t="n"/>
      <c r="K72" s="11" t="n"/>
      <c r="L72" s="12" t="n"/>
      <c r="M72" s="10" t="n"/>
      <c r="N72" s="10" t="n"/>
      <c r="O72" s="13" t="n"/>
      <c r="P72" s="7" t="inlineStr">
        <is>
          <t>Flight tonight. You already have a 3,000 yd swim today — walk, stretch, or spin easy rather than adding a run. Run volume this week is capped at 14 km and it is all in New York.</t>
        </is>
      </c>
    </row>
    <row r="73">
      <c r="A73" s="4" t="inlineStr">
        <is>
          <t>2026-10-28</t>
        </is>
      </c>
      <c r="B73" s="5" t="inlineStr">
        <is>
          <t>Wed</t>
        </is>
      </c>
      <c r="C73" s="5" t="n">
        <v>6</v>
      </c>
      <c r="D73" s="5" t="inlineStr">
        <is>
          <t>build1</t>
        </is>
      </c>
      <c r="E73" s="15" t="inlineStr">
        <is>
          <t>run</t>
        </is>
      </c>
      <c r="F73" s="7" t="inlineStr">
        <is>
          <t>Easy run — 4 km</t>
        </is>
      </c>
      <c r="G73" s="5" t="inlineStr">
        <is>
          <t>30 min</t>
        </is>
      </c>
      <c r="H73" s="8" t="n"/>
      <c r="I73" s="9" t="n">
        <v>4</v>
      </c>
      <c r="J73" s="10" t="n"/>
      <c r="K73" s="11" t="n"/>
      <c r="L73" s="12" t="n"/>
      <c r="M73" s="10" t="n"/>
      <c r="N73" s="10" t="n"/>
      <c r="O73" s="13" t="n"/>
      <c r="P73" s="7" t="inlineStr">
        <is>
          <t>First New York morning after a late landing. Keep it short and easy — this is travel recovery, not training.</t>
        </is>
      </c>
    </row>
    <row r="74">
      <c r="A74" s="4" t="inlineStr">
        <is>
          <t>2026-10-28</t>
        </is>
      </c>
      <c r="B74" s="5" t="inlineStr">
        <is>
          <t>Wed</t>
        </is>
      </c>
      <c r="C74" s="5" t="n">
        <v>6</v>
      </c>
      <c r="D74" s="5" t="inlineStr">
        <is>
          <t>build1</t>
        </is>
      </c>
      <c r="E74" s="16" t="inlineStr">
        <is>
          <t>recovery</t>
        </is>
      </c>
      <c r="F74" s="7" t="inlineStr">
        <is>
          <t>Mobility + lower-leg prehab</t>
        </is>
      </c>
      <c r="G74" s="5" t="inlineStr">
        <is>
          <t>15 min</t>
        </is>
      </c>
      <c r="H74" s="8" t="n"/>
      <c r="I74" s="9" t="n"/>
      <c r="J74" s="10" t="n"/>
      <c r="K74" s="11" t="n"/>
      <c r="L74" s="12" t="n"/>
      <c r="M74" s="10" t="n"/>
      <c r="N74" s="10" t="n"/>
      <c r="O74" s="13" t="n"/>
      <c r="P74" s="7" t="inlineStr">
        <is>
          <t>Travel mobility: hips, calves, thoracic spine. Long flights make the ankles stiff.</t>
        </is>
      </c>
    </row>
    <row r="75">
      <c r="A75" s="4" t="inlineStr">
        <is>
          <t>2026-10-29</t>
        </is>
      </c>
      <c r="B75" s="5" t="inlineStr">
        <is>
          <t>Thu</t>
        </is>
      </c>
      <c r="C75" s="5" t="n">
        <v>6</v>
      </c>
      <c r="D75" s="5" t="inlineStr">
        <is>
          <t>build1</t>
        </is>
      </c>
      <c r="E75" s="15" t="inlineStr">
        <is>
          <t>run</t>
        </is>
      </c>
      <c r="F75" s="7" t="inlineStr">
        <is>
          <t>Easy run — 4 km</t>
        </is>
      </c>
      <c r="G75" s="5" t="inlineStr">
        <is>
          <t>30–32 min</t>
        </is>
      </c>
      <c r="H75" s="8" t="n"/>
      <c r="I75" s="9" t="n">
        <v>4</v>
      </c>
      <c r="J75" s="10" t="n"/>
      <c r="K75" s="11" t="n"/>
      <c r="L75" s="12" t="n"/>
      <c r="M75" s="10" t="n"/>
      <c r="N75" s="10" t="n"/>
      <c r="O75" s="13" t="n"/>
      <c r="P75" s="7" t="inlineStr">
        <is>
          <t>New York running is the best part of this trip. Central Park reservoir loop is 2.5 km of soft cinder — ideal surface for your shins.</t>
        </is>
      </c>
    </row>
    <row r="76">
      <c r="A76" s="4" t="inlineStr">
        <is>
          <t>2026-10-29</t>
        </is>
      </c>
      <c r="B76" s="5" t="inlineStr">
        <is>
          <t>Thu</t>
        </is>
      </c>
      <c r="C76" s="5" t="n">
        <v>6</v>
      </c>
      <c r="D76" s="5" t="inlineStr">
        <is>
          <t>build1</t>
        </is>
      </c>
      <c r="E76" s="14" t="inlineStr">
        <is>
          <t>strength</t>
        </is>
      </c>
      <c r="F76" s="7" t="inlineStr">
        <is>
          <t>Bands + bodyweight circuit</t>
        </is>
      </c>
      <c r="G76" s="5" t="inlineStr">
        <is>
          <t>45 min</t>
        </is>
      </c>
      <c r="H76" s="8" t="n"/>
      <c r="I76" s="9" t="n"/>
      <c r="J76" s="10" t="n"/>
      <c r="K76" s="11" t="n"/>
      <c r="L76" s="12" t="n"/>
      <c r="M76" s="10" t="n"/>
      <c r="N76" s="10" t="n"/>
      <c r="O76" s="13" t="n"/>
      <c r="P76" s="7" t="inlineStr">
        <is>
          <t>Gym-optional: 3 rounds of banded RDL 15, split squat 10/leg, banded lateral walk 15/side, Copenhagen plank 20 s/side, calf raise 20, tibialis raise 20, dead bug 10/side.</t>
        </is>
      </c>
    </row>
    <row r="77">
      <c r="A77" s="4" t="inlineStr">
        <is>
          <t>2026-10-30</t>
        </is>
      </c>
      <c r="B77" s="5" t="inlineStr">
        <is>
          <t>Fri</t>
        </is>
      </c>
      <c r="C77" s="5" t="n">
        <v>6</v>
      </c>
      <c r="D77" s="5" t="inlineStr">
        <is>
          <t>build1</t>
        </is>
      </c>
      <c r="E77" s="16" t="inlineStr">
        <is>
          <t>recovery</t>
        </is>
      </c>
      <c r="F77" s="7" t="inlineStr">
        <is>
          <t>Mobility + lower-leg prehab</t>
        </is>
      </c>
      <c r="G77" s="5" t="inlineStr">
        <is>
          <t>25 min</t>
        </is>
      </c>
      <c r="H77" s="8" t="n"/>
      <c r="I77" s="9" t="n"/>
      <c r="J77" s="10" t="n"/>
      <c r="K77" s="11" t="n"/>
      <c r="L77" s="12" t="n"/>
      <c r="M77" s="10" t="n"/>
      <c r="N77" s="10" t="n"/>
      <c r="O77" s="13" t="n"/>
      <c r="P77" s="7" t="inlineStr">
        <is>
          <t>Full mobility day. If the hotel has a gym, add an easy 30 min spin. Otherwise walk the city — it counts.</t>
        </is>
      </c>
    </row>
    <row r="78">
      <c r="A78" s="4" t="inlineStr">
        <is>
          <t>2026-10-31</t>
        </is>
      </c>
      <c r="B78" s="5" t="inlineStr">
        <is>
          <t>Sat</t>
        </is>
      </c>
      <c r="C78" s="5" t="n">
        <v>6</v>
      </c>
      <c r="D78" s="5" t="inlineStr">
        <is>
          <t>build1</t>
        </is>
      </c>
      <c r="E78" s="15" t="inlineStr">
        <is>
          <t>run</t>
        </is>
      </c>
      <c r="F78" s="7" t="inlineStr">
        <is>
          <t>Long run — 6 km</t>
        </is>
      </c>
      <c r="G78" s="5" t="inlineStr">
        <is>
          <t>42–48 min</t>
        </is>
      </c>
      <c r="H78" s="8" t="n"/>
      <c r="I78" s="9" t="n">
        <v>6</v>
      </c>
      <c r="J78" s="10" t="n"/>
      <c r="K78" s="11" t="n"/>
      <c r="L78" s="12" t="n"/>
      <c r="M78" s="10" t="n"/>
      <c r="N78" s="10" t="n"/>
      <c r="O78" s="13" t="n"/>
      <c r="P78" s="7" t="inlineStr">
        <is>
          <t>Longest run of the week. Central Park bridle path or the reservoir — stay on the soft surfaces, avoid the paved loop.</t>
        </is>
      </c>
    </row>
    <row r="79">
      <c r="A79" s="4" t="inlineStr">
        <is>
          <t>2026-10-31</t>
        </is>
      </c>
      <c r="B79" s="5" t="inlineStr">
        <is>
          <t>Sat</t>
        </is>
      </c>
      <c r="C79" s="5" t="n">
        <v>6</v>
      </c>
      <c r="D79" s="5" t="inlineStr">
        <is>
          <t>build1</t>
        </is>
      </c>
      <c r="E79" s="16" t="inlineStr">
        <is>
          <t>recovery</t>
        </is>
      </c>
      <c r="F79" s="7" t="inlineStr">
        <is>
          <t>Mobility + lower-leg prehab</t>
        </is>
      </c>
      <c r="G79" s="5" t="inlineStr">
        <is>
          <t>15 min</t>
        </is>
      </c>
      <c r="H79" s="8" t="n"/>
      <c r="I79" s="9" t="n"/>
      <c r="J79" s="10" t="n"/>
      <c r="K79" s="11" t="n"/>
      <c r="L79" s="12" t="n"/>
      <c r="M79" s="10" t="n"/>
      <c r="N79" s="10" t="n"/>
      <c r="O79" s="13" t="n"/>
      <c r="P79" s="7" t="inlineStr">
        <is>
          <t>Ankle dorsiflexion (knee-to-wall), calf and soleus stretch, hip flexors, thoracic rotation, and 3 × 20 tibialis raises. Ten minutes of this beats an hour once a month.</t>
        </is>
      </c>
    </row>
    <row r="80">
      <c r="A80" s="4" t="inlineStr">
        <is>
          <t>2026-11-01</t>
        </is>
      </c>
      <c r="B80" s="5" t="inlineStr">
        <is>
          <t>Sun</t>
        </is>
      </c>
      <c r="C80" s="5" t="n">
        <v>6</v>
      </c>
      <c r="D80" s="5" t="inlineStr">
        <is>
          <t>build1</t>
        </is>
      </c>
      <c r="E80" s="16" t="inlineStr">
        <is>
          <t>recovery</t>
        </is>
      </c>
      <c r="F80" s="7" t="inlineStr">
        <is>
          <t>Walk + mobility</t>
        </is>
      </c>
      <c r="G80" s="5" t="inlineStr">
        <is>
          <t>20 min</t>
        </is>
      </c>
      <c r="H80" s="8" t="n"/>
      <c r="I80" s="9" t="n"/>
      <c r="J80" s="10" t="n"/>
      <c r="K80" s="11" t="n"/>
      <c r="L80" s="12" t="n"/>
      <c r="M80" s="10" t="n"/>
      <c r="N80" s="10" t="n"/>
      <c r="O80" s="13" t="n"/>
      <c r="P80" s="7" t="inlineStr">
        <is>
          <t>Easy 30–40 min walk plus mobility and foot intrinsics. Deliberately not a run — three runs and 14 km is the cap this week, and you already hit it.</t>
        </is>
      </c>
    </row>
    <row r="81">
      <c r="A81" s="4" t="inlineStr">
        <is>
          <t>2026-11-02</t>
        </is>
      </c>
      <c r="B81" s="5" t="inlineStr">
        <is>
          <t>Mon</t>
        </is>
      </c>
      <c r="C81" s="5" t="n">
        <v>7</v>
      </c>
      <c r="D81" s="5" t="inlineStr">
        <is>
          <t>build1</t>
        </is>
      </c>
      <c r="E81" s="15" t="inlineStr">
        <is>
          <t>run</t>
        </is>
      </c>
      <c r="F81" s="7" t="inlineStr">
        <is>
          <t>Easy run — 4 km</t>
        </is>
      </c>
      <c r="G81" s="5" t="inlineStr">
        <is>
          <t>30–32 min</t>
        </is>
      </c>
      <c r="H81" s="8" t="n"/>
      <c r="I81" s="9" t="n">
        <v>4</v>
      </c>
      <c r="J81" s="10" t="n"/>
      <c r="K81" s="11" t="n"/>
      <c r="L81" s="12" t="n"/>
      <c r="M81" s="10" t="n"/>
      <c r="N81" s="10" t="n"/>
      <c r="O81" s="13" t="n"/>
      <c r="P81" s="7" t="inlineStr">
        <is>
          <t>Last full New York morning.</t>
        </is>
      </c>
    </row>
    <row r="82">
      <c r="A82" s="4" t="inlineStr">
        <is>
          <t>2026-11-02</t>
        </is>
      </c>
      <c r="B82" s="5" t="inlineStr">
        <is>
          <t>Mon</t>
        </is>
      </c>
      <c r="C82" s="5" t="n">
        <v>7</v>
      </c>
      <c r="D82" s="5" t="inlineStr">
        <is>
          <t>build1</t>
        </is>
      </c>
      <c r="E82" s="14" t="inlineStr">
        <is>
          <t>strength</t>
        </is>
      </c>
      <c r="F82" s="7" t="inlineStr">
        <is>
          <t>Bands + bodyweight circuit</t>
        </is>
      </c>
      <c r="G82" s="5" t="inlineStr">
        <is>
          <t>40 min</t>
        </is>
      </c>
      <c r="H82" s="8" t="n"/>
      <c r="I82" s="9" t="n"/>
      <c r="J82" s="10" t="n"/>
      <c r="K82" s="11" t="n"/>
      <c r="L82" s="12" t="n"/>
      <c r="M82" s="10" t="n"/>
      <c r="N82" s="10" t="n"/>
      <c r="O82" s="13" t="n"/>
      <c r="P82" s="7" t="inlineStr">
        <is>
          <t>Same circuit as last Thursday, 3 rounds. Travel strength is about frequency, not load.</t>
        </is>
      </c>
    </row>
    <row r="83">
      <c r="A83" s="4" t="inlineStr">
        <is>
          <t>2026-11-03</t>
        </is>
      </c>
      <c r="B83" s="5" t="inlineStr">
        <is>
          <t>Tue</t>
        </is>
      </c>
      <c r="C83" s="5" t="n">
        <v>7</v>
      </c>
      <c r="D83" s="5" t="inlineStr">
        <is>
          <t>build1</t>
        </is>
      </c>
      <c r="E83" s="16" t="inlineStr">
        <is>
          <t>recovery</t>
        </is>
      </c>
      <c r="F83" s="7" t="inlineStr">
        <is>
          <t>Travel mobility</t>
        </is>
      </c>
      <c r="G83" s="5" t="inlineStr">
        <is>
          <t>20 min</t>
        </is>
      </c>
      <c r="H83" s="8" t="n"/>
      <c r="I83" s="9" t="n"/>
      <c r="J83" s="10" t="n"/>
      <c r="K83" s="11" t="n"/>
      <c r="L83" s="12" t="n"/>
      <c r="M83" s="10" t="n"/>
      <c r="N83" s="10" t="n"/>
      <c r="O83" s="13" t="n"/>
      <c r="P83" s="7" t="inlineStr">
        <is>
          <t>Travel day — mobility only, no run. Calf raises in the terminal, ankle circles on the plane. This is a planned down week: 3 runs and 12 km total.</t>
        </is>
      </c>
    </row>
    <row r="84">
      <c r="A84" s="4" t="inlineStr">
        <is>
          <t>2026-11-04</t>
        </is>
      </c>
      <c r="B84" s="5" t="inlineStr">
        <is>
          <t>Wed</t>
        </is>
      </c>
      <c r="C84" s="5" t="n">
        <v>7</v>
      </c>
      <c r="D84" s="5" t="inlineStr">
        <is>
          <t>build1</t>
        </is>
      </c>
      <c r="E84" s="6" t="inlineStr">
        <is>
          <t>swim</t>
        </is>
      </c>
      <c r="F84" s="7" t="inlineStr">
        <is>
          <t>Swim — easy re-entry</t>
        </is>
      </c>
      <c r="G84" s="5" t="inlineStr">
        <is>
          <t>1,800 yd · 40–53 min</t>
        </is>
      </c>
      <c r="H84" s="8" t="n">
        <v>1800</v>
      </c>
      <c r="I84" s="9" t="n"/>
      <c r="J84" s="10" t="n"/>
      <c r="K84" s="11" t="n"/>
      <c r="L84" s="12" t="n"/>
      <c r="M84" s="10" t="n"/>
      <c r="N84" s="10" t="n"/>
      <c r="O84" s="13" t="n"/>
      <c r="P84" s="7" t="inlineStr">
        <is>
          <t>Warm-up 300. Drill 500 with snorkel and fins — rebuild the feel before asking for pace. Main 8 × 100 on 2:30 aerobic. Cool-down 200. NO PADDLES this week; six days out of the water means the shoulders get eased back in.</t>
        </is>
      </c>
    </row>
    <row r="85">
      <c r="A85" s="4" t="inlineStr">
        <is>
          <t>2026-11-04</t>
        </is>
      </c>
      <c r="B85" s="5" t="inlineStr">
        <is>
          <t>Wed</t>
        </is>
      </c>
      <c r="C85" s="5" t="n">
        <v>7</v>
      </c>
      <c r="D85" s="5" t="inlineStr">
        <is>
          <t>build1</t>
        </is>
      </c>
      <c r="E85" s="17" t="inlineStr">
        <is>
          <t>bike</t>
        </is>
      </c>
      <c r="F85" s="7" t="inlineStr">
        <is>
          <t>Easy spin</t>
        </is>
      </c>
      <c r="G85" s="5" t="inlineStr">
        <is>
          <t>40 min</t>
        </is>
      </c>
      <c r="H85" s="8" t="n"/>
      <c r="I85" s="9" t="n"/>
      <c r="J85" s="10" t="n"/>
      <c r="K85" s="11" t="n"/>
      <c r="L85" s="12" t="n"/>
      <c r="M85" s="10" t="n"/>
      <c r="N85" s="10" t="n"/>
      <c r="O85" s="13" t="n"/>
      <c r="P85" s="7" t="inlineStr">
        <is>
          <t>Zone 2, legs turning over after travel.</t>
        </is>
      </c>
    </row>
    <row r="86">
      <c r="A86" s="4" t="inlineStr">
        <is>
          <t>2026-11-05</t>
        </is>
      </c>
      <c r="B86" s="5" t="inlineStr">
        <is>
          <t>Thu</t>
        </is>
      </c>
      <c r="C86" s="5" t="n">
        <v>7</v>
      </c>
      <c r="D86" s="5" t="inlineStr">
        <is>
          <t>build1</t>
        </is>
      </c>
      <c r="E86" s="6" t="inlineStr">
        <is>
          <t>swim</t>
        </is>
      </c>
      <c r="F86" s="7" t="inlineStr">
        <is>
          <t>Swim — technique + light speed</t>
        </is>
      </c>
      <c r="G86" s="5" t="inlineStr">
        <is>
          <t>1,800 yd · 40–53 min</t>
        </is>
      </c>
      <c r="H86" s="8" t="n">
        <v>1800</v>
      </c>
      <c r="I86" s="9" t="n"/>
      <c r="J86" s="10" t="n"/>
      <c r="K86" s="11" t="n"/>
      <c r="L86" s="12" t="n"/>
      <c r="M86" s="10" t="n"/>
      <c r="N86" s="10" t="n"/>
      <c r="O86" s="13" t="n"/>
      <c r="P86" s="7" t="inlineStr">
        <is>
          <t>Warm-up 300. Drill 500 with the breathing focus. Main 12 × 50 on 1:15 aerobic, every third one fast. Then 4 × 50 breaststroke. Cool-down 200.</t>
        </is>
      </c>
    </row>
    <row r="87">
      <c r="A87" s="4" t="inlineStr">
        <is>
          <t>2026-11-05</t>
        </is>
      </c>
      <c r="B87" s="5" t="inlineStr">
        <is>
          <t>Thu</t>
        </is>
      </c>
      <c r="C87" s="5" t="n">
        <v>7</v>
      </c>
      <c r="D87" s="5" t="inlineStr">
        <is>
          <t>build1</t>
        </is>
      </c>
      <c r="E87" s="14" t="inlineStr">
        <is>
          <t>strength</t>
        </is>
      </c>
      <c r="F87" s="7" t="inlineStr">
        <is>
          <t>Strength A — RDL + posterior chain</t>
        </is>
      </c>
      <c r="G87" s="5" t="inlineStr">
        <is>
          <t>45–55 min</t>
        </is>
      </c>
      <c r="H87" s="8" t="n"/>
      <c r="I87" s="9" t="n"/>
      <c r="J87" s="10" t="n"/>
      <c r="K87" s="11" t="n"/>
      <c r="L87" s="12" t="n"/>
      <c r="M87" s="10" t="n"/>
      <c r="N87" s="10" t="n"/>
      <c r="O87" s="13" t="n"/>
      <c r="P87" s="7" t="inlineStr">
        <is>
          <t>First proper lift in a week. Back the loads off about 10% — you have been doing bands.</t>
        </is>
      </c>
    </row>
    <row r="88">
      <c r="A88" s="4" t="inlineStr">
        <is>
          <t>2026-11-06</t>
        </is>
      </c>
      <c r="B88" s="5" t="inlineStr">
        <is>
          <t>Fri</t>
        </is>
      </c>
      <c r="C88" s="5" t="n">
        <v>7</v>
      </c>
      <c r="D88" s="5" t="inlineStr">
        <is>
          <t>build1</t>
        </is>
      </c>
      <c r="E88" s="6" t="inlineStr">
        <is>
          <t>swim</t>
        </is>
      </c>
      <c r="F88" s="7" t="inlineStr">
        <is>
          <t>Swim — threshold returns</t>
        </is>
      </c>
      <c r="G88" s="5" t="inlineStr">
        <is>
          <t>2,200 yd · 49–65 min</t>
        </is>
      </c>
      <c r="H88" s="8" t="n">
        <v>2200</v>
      </c>
      <c r="I88" s="9" t="n"/>
      <c r="J88" s="10" t="n"/>
      <c r="K88" s="11" t="n"/>
      <c r="L88" s="12" t="n"/>
      <c r="M88" s="10" t="n"/>
      <c r="N88" s="10" t="n"/>
      <c r="O88" s="13" t="n"/>
      <c r="P88" s="7" t="inlineStr">
        <is>
          <t>Warm-up 400. Drill 300. Main: 8 × 100 at CSS on 2:15. Cool-down 300. Third swim in three days — if the shoulders are heavy, cut to 6 × 100.</t>
        </is>
      </c>
    </row>
    <row r="89">
      <c r="A89" s="4" t="inlineStr">
        <is>
          <t>2026-11-06</t>
        </is>
      </c>
      <c r="B89" s="5" t="inlineStr">
        <is>
          <t>Fri</t>
        </is>
      </c>
      <c r="C89" s="5" t="n">
        <v>7</v>
      </c>
      <c r="D89" s="5" t="inlineStr">
        <is>
          <t>build1</t>
        </is>
      </c>
      <c r="E89" s="15" t="inlineStr">
        <is>
          <t>run</t>
        </is>
      </c>
      <c r="F89" s="7" t="inlineStr">
        <is>
          <t>Easy run — 3 km</t>
        </is>
      </c>
      <c r="G89" s="5" t="inlineStr">
        <is>
          <t>22–25 min</t>
        </is>
      </c>
      <c r="H89" s="8" t="n"/>
      <c r="I89" s="9" t="n">
        <v>3</v>
      </c>
      <c r="J89" s="10" t="n"/>
      <c r="K89" s="11" t="n"/>
      <c r="L89" s="12" t="n"/>
      <c r="M89" s="10" t="n"/>
      <c r="N89" s="10" t="n"/>
      <c r="O89" s="13" t="n"/>
      <c r="P89" s="7" t="inlineStr">
        <is>
          <t>Down-week running. Deliberately short.</t>
        </is>
      </c>
    </row>
    <row r="90">
      <c r="A90" s="4" t="inlineStr">
        <is>
          <t>2026-11-07</t>
        </is>
      </c>
      <c r="B90" s="5" t="inlineStr">
        <is>
          <t>Sat</t>
        </is>
      </c>
      <c r="C90" s="5" t="n">
        <v>7</v>
      </c>
      <c r="D90" s="5" t="inlineStr">
        <is>
          <t>build1</t>
        </is>
      </c>
      <c r="E90" s="6" t="inlineStr">
        <is>
          <t>swim</t>
        </is>
      </c>
      <c r="F90" s="7" t="inlineStr">
        <is>
          <t>Swim — long aerobic 1,400</t>
        </is>
      </c>
      <c r="G90" s="5" t="inlineStr">
        <is>
          <t>2,400 yd · 53–71 min</t>
        </is>
      </c>
      <c r="H90" s="8" t="n">
        <v>2400</v>
      </c>
      <c r="I90" s="9" t="n"/>
      <c r="J90" s="10" t="n"/>
      <c r="K90" s="11" t="n"/>
      <c r="L90" s="12" t="n"/>
      <c r="M90" s="10" t="n"/>
      <c r="N90" s="10" t="n"/>
      <c r="O90" s="13" t="n"/>
      <c r="P90" s="7" t="inlineStr">
        <is>
          <t>Warm-up 300. Main: 1,400 continuous, then 4 × 100 at CSS on 2:20. Cool-down 300. Fourth swim in four days brings the week to about 8,200 yd — streak protected on the back half.</t>
        </is>
      </c>
    </row>
    <row r="91">
      <c r="A91" s="4" t="inlineStr">
        <is>
          <t>2026-11-07</t>
        </is>
      </c>
      <c r="B91" s="5" t="inlineStr">
        <is>
          <t>Sat</t>
        </is>
      </c>
      <c r="C91" s="5" t="n">
        <v>7</v>
      </c>
      <c r="D91" s="5" t="inlineStr">
        <is>
          <t>build1</t>
        </is>
      </c>
      <c r="E91" s="17" t="inlineStr">
        <is>
          <t>bike</t>
        </is>
      </c>
      <c r="F91" s="7" t="inlineStr">
        <is>
          <t>Endurance ride</t>
        </is>
      </c>
      <c r="G91" s="5" t="inlineStr">
        <is>
          <t>75 min</t>
        </is>
      </c>
      <c r="H91" s="8" t="n"/>
      <c r="I91" s="9" t="n"/>
      <c r="J91" s="10" t="n"/>
      <c r="K91" s="11" t="n"/>
      <c r="L91" s="12" t="n"/>
      <c r="M91" s="10" t="n"/>
      <c r="N91" s="10" t="n"/>
      <c r="O91" s="13" t="n"/>
      <c r="P91" s="7" t="inlineStr">
        <is>
          <t>Z2, indoors or out depending on weather. Winter is arriving; start getting comfortable on the spin bike.</t>
        </is>
      </c>
    </row>
    <row r="92">
      <c r="A92" s="4" t="inlineStr">
        <is>
          <t>2026-11-08</t>
        </is>
      </c>
      <c r="B92" s="5" t="inlineStr">
        <is>
          <t>Sun</t>
        </is>
      </c>
      <c r="C92" s="5" t="n">
        <v>7</v>
      </c>
      <c r="D92" s="5" t="inlineStr">
        <is>
          <t>build1</t>
        </is>
      </c>
      <c r="E92" s="15" t="inlineStr">
        <is>
          <t>run</t>
        </is>
      </c>
      <c r="F92" s="7" t="inlineStr">
        <is>
          <t>Long run — 5 km</t>
        </is>
      </c>
      <c r="G92" s="5" t="inlineStr">
        <is>
          <t>34–38 min</t>
        </is>
      </c>
      <c r="H92" s="8" t="n"/>
      <c r="I92" s="9" t="n">
        <v>5</v>
      </c>
      <c r="J92" s="10" t="n"/>
      <c r="K92" s="11" t="n"/>
      <c r="L92" s="12" t="n"/>
      <c r="M92" s="10" t="n"/>
      <c r="N92" s="10" t="n"/>
      <c r="O92" s="13" t="n"/>
      <c r="P92" s="7" t="inlineStr">
        <is>
          <t>Easy long run to close a down week. Soft surface. Next week the long run steps up to race distance.</t>
        </is>
      </c>
    </row>
    <row r="93">
      <c r="A93" s="4" t="inlineStr">
        <is>
          <t>2026-11-08</t>
        </is>
      </c>
      <c r="B93" s="5" t="inlineStr">
        <is>
          <t>Sun</t>
        </is>
      </c>
      <c r="C93" s="5" t="n">
        <v>7</v>
      </c>
      <c r="D93" s="5" t="inlineStr">
        <is>
          <t>build1</t>
        </is>
      </c>
      <c r="E93" s="16" t="inlineStr">
        <is>
          <t>recovery</t>
        </is>
      </c>
      <c r="F93" s="7" t="inlineStr">
        <is>
          <t>Mobility + lower-leg prehab</t>
        </is>
      </c>
      <c r="G93" s="5" t="inlineStr">
        <is>
          <t>20 min</t>
        </is>
      </c>
      <c r="H93" s="8" t="n"/>
      <c r="I93" s="9" t="n"/>
      <c r="J93" s="10" t="n"/>
      <c r="K93" s="11" t="n"/>
      <c r="L93" s="12" t="n"/>
      <c r="M93" s="10" t="n"/>
      <c r="N93" s="10" t="n"/>
      <c r="O93" s="13" t="n"/>
      <c r="P93" s="7" t="inlineStr">
        <is>
          <t>Mobility plus foot intrinsics.</t>
        </is>
      </c>
    </row>
    <row r="94">
      <c r="A94" s="4" t="inlineStr">
        <is>
          <t>2026-11-09</t>
        </is>
      </c>
      <c r="B94" s="5" t="inlineStr">
        <is>
          <t>Mon</t>
        </is>
      </c>
      <c r="C94" s="5" t="n">
        <v>8</v>
      </c>
      <c r="D94" s="5" t="inlineStr">
        <is>
          <t>build2</t>
        </is>
      </c>
      <c r="E94" s="6" t="inlineStr">
        <is>
          <t>swim</t>
        </is>
      </c>
      <c r="F94" s="7" t="inlineStr">
        <is>
          <t>Swim — CSS RETEST (400 + 200 TT)</t>
        </is>
      </c>
      <c r="G94" s="5" t="inlineStr">
        <is>
          <t>2,400 yd · 53–71 min</t>
        </is>
      </c>
      <c r="H94" s="8" t="n">
        <v>2400</v>
      </c>
      <c r="I94" s="9" t="n"/>
      <c r="J94" s="10" t="n"/>
      <c r="K94" s="11" t="n"/>
      <c r="L94" s="12" t="n"/>
      <c r="M94" s="10" t="n"/>
      <c r="N94" s="10" t="n"/>
      <c r="O94" s="13" t="n"/>
      <c r="P94" s="7" t="inlineStr">
        <is>
          <t>Same protocol as Week 1: warm-up 400, build 4 × 50, then 400 all-out, 5 min rest, 200 all-out. Cool-down 400. Recalculate CSS and reset every send-off in the second half of the block. Seven weeks of threshold work should show up here — 4–6 s/100 faster is a good outcome.</t>
        </is>
      </c>
    </row>
    <row r="95">
      <c r="A95" s="4" t="inlineStr">
        <is>
          <t>2026-11-09</t>
        </is>
      </c>
      <c r="B95" s="5" t="inlineStr">
        <is>
          <t>Mon</t>
        </is>
      </c>
      <c r="C95" s="5" t="n">
        <v>8</v>
      </c>
      <c r="D95" s="5" t="inlineStr">
        <is>
          <t>build2</t>
        </is>
      </c>
      <c r="E95" s="14" t="inlineStr">
        <is>
          <t>strength</t>
        </is>
      </c>
      <c r="F95" s="7" t="inlineStr">
        <is>
          <t>Strength A — RDL + posterior chain</t>
        </is>
      </c>
      <c r="G95" s="5" t="inlineStr">
        <is>
          <t>45–55 min</t>
        </is>
      </c>
      <c r="H95" s="8" t="n"/>
      <c r="I95" s="9" t="n"/>
      <c r="J95" s="10" t="n"/>
      <c r="K95" s="11" t="n"/>
      <c r="L95" s="12" t="n"/>
      <c r="M95" s="10" t="n"/>
      <c r="N95" s="10" t="n"/>
      <c r="O95" s="13" t="n"/>
      <c r="P95" s="7" t="inlineStr">
        <is>
          <t>Standard Strength A.</t>
        </is>
      </c>
    </row>
    <row r="96">
      <c r="A96" s="4" t="inlineStr">
        <is>
          <t>2026-11-10</t>
        </is>
      </c>
      <c r="B96" s="5" t="inlineStr">
        <is>
          <t>Tue</t>
        </is>
      </c>
      <c r="C96" s="5" t="n">
        <v>8</v>
      </c>
      <c r="D96" s="5" t="inlineStr">
        <is>
          <t>build2</t>
        </is>
      </c>
      <c r="E96" s="15" t="inlineStr">
        <is>
          <t>run</t>
        </is>
      </c>
      <c r="F96" s="7" t="inlineStr">
        <is>
          <t>Easy run — 3 km</t>
        </is>
      </c>
      <c r="G96" s="5" t="inlineStr">
        <is>
          <t>22–25 min</t>
        </is>
      </c>
      <c r="H96" s="8" t="n"/>
      <c r="I96" s="9" t="n">
        <v>3</v>
      </c>
      <c r="J96" s="10" t="n"/>
      <c r="K96" s="11" t="n"/>
      <c r="L96" s="12" t="n"/>
      <c r="M96" s="10" t="n"/>
      <c r="N96" s="10" t="n"/>
      <c r="O96" s="13" t="n"/>
      <c r="P96" s="7" t="inlineStr">
        <is>
          <t>Easy. The long run is Sunday and it is the big one this week.</t>
        </is>
      </c>
    </row>
    <row r="97">
      <c r="A97" s="4" t="inlineStr">
        <is>
          <t>2026-11-10</t>
        </is>
      </c>
      <c r="B97" s="5" t="inlineStr">
        <is>
          <t>Tue</t>
        </is>
      </c>
      <c r="C97" s="5" t="n">
        <v>8</v>
      </c>
      <c r="D97" s="5" t="inlineStr">
        <is>
          <t>build2</t>
        </is>
      </c>
      <c r="E97" s="16" t="inlineStr">
        <is>
          <t>recovery</t>
        </is>
      </c>
      <c r="F97" s="7" t="inlineStr">
        <is>
          <t>Mobility + lower-leg prehab</t>
        </is>
      </c>
      <c r="G97" s="5" t="inlineStr">
        <is>
          <t>15 min</t>
        </is>
      </c>
      <c r="H97" s="8" t="n"/>
      <c r="I97" s="9" t="n"/>
      <c r="J97" s="10" t="n"/>
      <c r="K97" s="11" t="n"/>
      <c r="L97" s="12" t="n"/>
      <c r="M97" s="10" t="n"/>
      <c r="N97" s="10" t="n"/>
      <c r="O97" s="13" t="n"/>
      <c r="P97" s="7" t="inlineStr">
        <is>
          <t>Ankle dorsiflexion (knee-to-wall), calf and soleus stretch, hip flexors, thoracic rotation, and 3 × 20 tibialis raises. Ten minutes of this beats an hour once a month.</t>
        </is>
      </c>
    </row>
    <row r="98">
      <c r="A98" s="4" t="inlineStr">
        <is>
          <t>2026-11-11</t>
        </is>
      </c>
      <c r="B98" s="5" t="inlineStr">
        <is>
          <t>Wed</t>
        </is>
      </c>
      <c r="C98" s="5" t="n">
        <v>8</v>
      </c>
      <c r="D98" s="5" t="inlineStr">
        <is>
          <t>build2</t>
        </is>
      </c>
      <c r="E98" s="6" t="inlineStr">
        <is>
          <t>swim</t>
        </is>
      </c>
      <c r="F98" s="7" t="inlineStr">
        <is>
          <t>Swim — speed 6 × (4 × 50)</t>
        </is>
      </c>
      <c r="G98" s="5" t="inlineStr">
        <is>
          <t>2,500 yd · 56–74 min</t>
        </is>
      </c>
      <c r="H98" s="8" t="n">
        <v>2500</v>
      </c>
      <c r="I98" s="9" t="n"/>
      <c r="J98" s="10" t="n"/>
      <c r="K98" s="11" t="n"/>
      <c r="L98" s="12" t="n"/>
      <c r="M98" s="10" t="n"/>
      <c r="N98" s="10" t="n"/>
      <c r="O98" s="13" t="n"/>
      <c r="P98" s="7" t="inlineStr">
        <is>
          <t>Warm-up 300. Drill 400. Paddles 400 pull. Main: 6 rounds of 4 × 50 on 1:00, 45 s between rounds. Then 4 × 50 breaststroke. Cool-down 200. Tighter send-off than Week 5 — this is where density shows up.</t>
        </is>
      </c>
    </row>
    <row r="99">
      <c r="A99" s="4" t="inlineStr">
        <is>
          <t>2026-11-11</t>
        </is>
      </c>
      <c r="B99" s="5" t="inlineStr">
        <is>
          <t>Wed</t>
        </is>
      </c>
      <c r="C99" s="5" t="n">
        <v>8</v>
      </c>
      <c r="D99" s="5" t="inlineStr">
        <is>
          <t>build2</t>
        </is>
      </c>
      <c r="E99" s="17" t="inlineStr">
        <is>
          <t>bike</t>
        </is>
      </c>
      <c r="F99" s="7" t="inlineStr">
        <is>
          <t>Spin bike — threshold 5 × 8 min</t>
        </is>
      </c>
      <c r="G99" s="5" t="inlineStr">
        <is>
          <t>60 min</t>
        </is>
      </c>
      <c r="H99" s="8" t="n"/>
      <c r="I99" s="9" t="n"/>
      <c r="J99" s="10" t="n"/>
      <c r="K99" s="11" t="n"/>
      <c r="L99" s="12" t="n"/>
      <c r="M99" s="10" t="n"/>
      <c r="N99" s="10" t="n"/>
      <c r="O99" s="13" t="n"/>
      <c r="P99" s="7" t="inlineStr">
        <is>
          <t>5 × 8 min at 95–100% FTP, 3 min easy. Recheck the effort against your Week 2 FTP — if it feels easy, retest the FTP next week.</t>
        </is>
      </c>
    </row>
    <row r="100">
      <c r="A100" s="4" t="inlineStr">
        <is>
          <t>2026-11-12</t>
        </is>
      </c>
      <c r="B100" s="5" t="inlineStr">
        <is>
          <t>Thu</t>
        </is>
      </c>
      <c r="C100" s="5" t="n">
        <v>8</v>
      </c>
      <c r="D100" s="5" t="inlineStr">
        <is>
          <t>build2</t>
        </is>
      </c>
      <c r="E100" s="15" t="inlineStr">
        <is>
          <t>run</t>
        </is>
      </c>
      <c r="F100" s="7" t="inlineStr">
        <is>
          <t>Quality run — 6 × 1 min (≈5 km)</t>
        </is>
      </c>
      <c r="G100" s="5" t="inlineStr">
        <is>
          <t>32–35 min</t>
        </is>
      </c>
      <c r="H100" s="8" t="n"/>
      <c r="I100" s="9" t="n">
        <v>5</v>
      </c>
      <c r="J100" s="10" t="n"/>
      <c r="K100" s="11" t="n"/>
      <c r="L100" s="12" t="n"/>
      <c r="M100" s="10" t="n"/>
      <c r="N100" s="10" t="n"/>
      <c r="O100" s="13" t="n"/>
      <c r="P100" s="7" t="inlineStr">
        <is>
          <t>Warm-up 10 min easy. Then 6 × 1 min at 5k effort with 2 min easy jog between. Cool-down 10 min. Short reps on a track or soft trail — first real intensity of the block, and it stays short on purpose.</t>
        </is>
      </c>
    </row>
    <row r="101">
      <c r="A101" s="4" t="inlineStr">
        <is>
          <t>2026-11-12</t>
        </is>
      </c>
      <c r="B101" s="5" t="inlineStr">
        <is>
          <t>Thu</t>
        </is>
      </c>
      <c r="C101" s="5" t="n">
        <v>8</v>
      </c>
      <c r="D101" s="5" t="inlineStr">
        <is>
          <t>build2</t>
        </is>
      </c>
      <c r="E101" s="14" t="inlineStr">
        <is>
          <t>strength</t>
        </is>
      </c>
      <c r="F101" s="7" t="inlineStr">
        <is>
          <t>Strength B — Bulgarian split squat + hips and core</t>
        </is>
      </c>
      <c r="G101" s="5" t="inlineStr">
        <is>
          <t>45–55 min</t>
        </is>
      </c>
      <c r="H101" s="8" t="n"/>
      <c r="I101" s="9" t="n"/>
      <c r="J101" s="10" t="n"/>
      <c r="K101" s="11" t="n"/>
      <c r="L101" s="12" t="n"/>
      <c r="M101" s="10" t="n"/>
      <c r="N101" s="10" t="n"/>
      <c r="O101" s="13" t="n"/>
      <c r="P101" s="7" t="inlineStr">
        <is>
          <t>Standard Strength B.</t>
        </is>
      </c>
    </row>
    <row r="102">
      <c r="A102" s="4" t="inlineStr">
        <is>
          <t>2026-11-13</t>
        </is>
      </c>
      <c r="B102" s="5" t="inlineStr">
        <is>
          <t>Fri</t>
        </is>
      </c>
      <c r="C102" s="5" t="n">
        <v>8</v>
      </c>
      <c r="D102" s="5" t="inlineStr">
        <is>
          <t>build2</t>
        </is>
      </c>
      <c r="E102" s="6" t="inlineStr">
        <is>
          <t>swim</t>
        </is>
      </c>
      <c r="F102" s="7" t="inlineStr">
        <is>
          <t>Swim — long aerobic 1,800</t>
        </is>
      </c>
      <c r="G102" s="5" t="inlineStr">
        <is>
          <t>2,800 yd · 62–82 min</t>
        </is>
      </c>
      <c r="H102" s="8" t="n">
        <v>2800</v>
      </c>
      <c r="I102" s="9" t="n"/>
      <c r="J102" s="10" t="n"/>
      <c r="K102" s="11" t="n"/>
      <c r="L102" s="12" t="n"/>
      <c r="M102" s="10" t="n"/>
      <c r="N102" s="10" t="n"/>
      <c r="O102" s="13" t="n"/>
      <c r="P102" s="7" t="inlineStr">
        <is>
          <t>Warm-up 300. Main: 1,800 continuous at the NEW aerobic pace from Monday's retest, then 6 × 100 at the new CSS on the new send-off. Cool-down 300.</t>
        </is>
      </c>
    </row>
    <row r="103">
      <c r="A103" s="4" t="inlineStr">
        <is>
          <t>2026-11-14</t>
        </is>
      </c>
      <c r="B103" s="5" t="inlineStr">
        <is>
          <t>Sat</t>
        </is>
      </c>
      <c r="C103" s="5" t="n">
        <v>8</v>
      </c>
      <c r="D103" s="5" t="inlineStr">
        <is>
          <t>build2</t>
        </is>
      </c>
      <c r="E103" s="18" t="inlineStr">
        <is>
          <t>hike</t>
        </is>
      </c>
      <c r="F103" s="7" t="inlineStr">
        <is>
          <t>Stairmaster + 20 lb pack</t>
        </is>
      </c>
      <c r="G103" s="5" t="inlineStr">
        <is>
          <t>45–50 min</t>
        </is>
      </c>
      <c r="H103" s="8" t="n"/>
      <c r="I103" s="9" t="n"/>
      <c r="J103" s="10" t="n"/>
      <c r="K103" s="11" t="n"/>
      <c r="L103" s="12" t="n"/>
      <c r="M103" s="10" t="n"/>
      <c r="N103" s="10" t="n"/>
      <c r="O103" s="13" t="n"/>
      <c r="P103" s="7" t="inlineStr">
        <is>
          <t>Biweekly Rainier maintenance, now at 20 lb.</t>
        </is>
      </c>
    </row>
    <row r="104">
      <c r="A104" s="4" t="inlineStr">
        <is>
          <t>2026-11-14</t>
        </is>
      </c>
      <c r="B104" s="5" t="inlineStr">
        <is>
          <t>Sat</t>
        </is>
      </c>
      <c r="C104" s="5" t="n">
        <v>8</v>
      </c>
      <c r="D104" s="5" t="inlineStr">
        <is>
          <t>build2</t>
        </is>
      </c>
      <c r="E104" s="6" t="inlineStr">
        <is>
          <t>swim</t>
        </is>
      </c>
      <c r="F104" s="7" t="inlineStr">
        <is>
          <t>Technique swim (short)</t>
        </is>
      </c>
      <c r="G104" s="5" t="inlineStr">
        <is>
          <t>1,400 yd · 31–41 min</t>
        </is>
      </c>
      <c r="H104" s="8" t="n">
        <v>1400</v>
      </c>
      <c r="I104" s="9" t="n"/>
      <c r="J104" s="10" t="n"/>
      <c r="K104" s="11" t="n"/>
      <c r="L104" s="12" t="n"/>
      <c r="M104" s="10" t="n"/>
      <c r="N104" s="10" t="n"/>
      <c r="O104" s="13" t="n"/>
      <c r="P104" s="7" t="inlineStr">
        <is>
          <t>No clock, no main set. Snorkel and fins for the first half, then easy 50s holding the feel. This session exists to raise frequency and keep the stroke fresh — leave the pool fresher than you arrived.</t>
        </is>
      </c>
    </row>
    <row r="105">
      <c r="A105" s="4" t="inlineStr">
        <is>
          <t>2026-11-15</t>
        </is>
      </c>
      <c r="B105" s="5" t="inlineStr">
        <is>
          <t>Sun</t>
        </is>
      </c>
      <c r="C105" s="5" t="n">
        <v>8</v>
      </c>
      <c r="D105" s="5" t="inlineStr">
        <is>
          <t>build2</t>
        </is>
      </c>
      <c r="E105" s="15" t="inlineStr">
        <is>
          <t>run</t>
        </is>
      </c>
      <c r="F105" s="7" t="inlineStr">
        <is>
          <t>Long run — 8 km</t>
        </is>
      </c>
      <c r="G105" s="5" t="inlineStr">
        <is>
          <t>50–55 min</t>
        </is>
      </c>
      <c r="H105" s="8" t="n"/>
      <c r="I105" s="9" t="n">
        <v>8</v>
      </c>
      <c r="J105" s="10" t="n"/>
      <c r="K105" s="11" t="n"/>
      <c r="L105" s="12" t="n"/>
      <c r="M105" s="10" t="n"/>
      <c r="N105" s="10" t="n"/>
      <c r="O105" s="13" t="n"/>
      <c r="P105" s="7" t="inlineStr">
        <is>
          <t>Race distance for the first time. Easy pace throughout, soft surface, cadence 175–180. If the shins are tight the next morning and still tight 48 hours later, next week's long run gets cut.</t>
        </is>
      </c>
    </row>
    <row r="106">
      <c r="A106" s="4" t="inlineStr">
        <is>
          <t>2026-11-15</t>
        </is>
      </c>
      <c r="B106" s="5" t="inlineStr">
        <is>
          <t>Sun</t>
        </is>
      </c>
      <c r="C106" s="5" t="n">
        <v>8</v>
      </c>
      <c r="D106" s="5" t="inlineStr">
        <is>
          <t>build2</t>
        </is>
      </c>
      <c r="E106" s="16" t="inlineStr">
        <is>
          <t>recovery</t>
        </is>
      </c>
      <c r="F106" s="7" t="inlineStr">
        <is>
          <t>Mobility + lower-leg prehab</t>
        </is>
      </c>
      <c r="G106" s="5" t="inlineStr">
        <is>
          <t>20 min</t>
        </is>
      </c>
      <c r="H106" s="8" t="n"/>
      <c r="I106" s="9" t="n"/>
      <c r="J106" s="10" t="n"/>
      <c r="K106" s="11" t="n"/>
      <c r="L106" s="12" t="n"/>
      <c r="M106" s="10" t="n"/>
      <c r="N106" s="10" t="n"/>
      <c r="O106" s="13" t="n"/>
      <c r="P106" s="7" t="inlineStr">
        <is>
          <t>Thorough post-long-run mobility plus foot intrinsics.</t>
        </is>
      </c>
    </row>
    <row r="107">
      <c r="A107" s="4" t="inlineStr">
        <is>
          <t>2026-11-16</t>
        </is>
      </c>
      <c r="B107" s="5" t="inlineStr">
        <is>
          <t>Mon</t>
        </is>
      </c>
      <c r="C107" s="5" t="n">
        <v>9</v>
      </c>
      <c r="D107" s="5" t="inlineStr">
        <is>
          <t>build2</t>
        </is>
      </c>
      <c r="E107" s="6" t="inlineStr">
        <is>
          <t>swim</t>
        </is>
      </c>
      <c r="F107" s="7" t="inlineStr">
        <is>
          <t>Swim — threshold 6 × 200</t>
        </is>
      </c>
      <c r="G107" s="5" t="inlineStr">
        <is>
          <t>2,900 yd · 64–85 min</t>
        </is>
      </c>
      <c r="H107" s="8" t="n">
        <v>2900</v>
      </c>
      <c r="I107" s="9" t="n"/>
      <c r="J107" s="10" t="n"/>
      <c r="K107" s="11" t="n"/>
      <c r="L107" s="12" t="n"/>
      <c r="M107" s="10" t="n"/>
      <c r="N107" s="10" t="n"/>
      <c r="O107" s="13" t="n"/>
      <c r="P107" s="7" t="inlineStr">
        <is>
          <t>Warm-up 400. Drill 400. Main: 6 × 200 at the new CSS on 4:25 (adjust to the retest). Cool-down 300. 1,200 yd of threshold — the biggest threshold block of the block.</t>
        </is>
      </c>
    </row>
    <row r="108">
      <c r="A108" s="4" t="inlineStr">
        <is>
          <t>2026-11-16</t>
        </is>
      </c>
      <c r="B108" s="5" t="inlineStr">
        <is>
          <t>Mon</t>
        </is>
      </c>
      <c r="C108" s="5" t="n">
        <v>9</v>
      </c>
      <c r="D108" s="5" t="inlineStr">
        <is>
          <t>build2</t>
        </is>
      </c>
      <c r="E108" s="14" t="inlineStr">
        <is>
          <t>strength</t>
        </is>
      </c>
      <c r="F108" s="7" t="inlineStr">
        <is>
          <t>Strength A — RDL + posterior chain</t>
        </is>
      </c>
      <c r="G108" s="5" t="inlineStr">
        <is>
          <t>45–55 min</t>
        </is>
      </c>
      <c r="H108" s="8" t="n"/>
      <c r="I108" s="9" t="n"/>
      <c r="J108" s="10" t="n"/>
      <c r="K108" s="11" t="n"/>
      <c r="L108" s="12" t="n"/>
      <c r="M108" s="10" t="n"/>
      <c r="N108" s="10" t="n"/>
      <c r="O108" s="13" t="n"/>
      <c r="P108" s="7" t="inlineStr">
        <is>
          <t>Standard Strength A. This is a big week; if you are flat, cut a set rather than skipping.</t>
        </is>
      </c>
    </row>
    <row r="109">
      <c r="A109" s="4" t="inlineStr">
        <is>
          <t>2026-11-17</t>
        </is>
      </c>
      <c r="B109" s="5" t="inlineStr">
        <is>
          <t>Tue</t>
        </is>
      </c>
      <c r="C109" s="5" t="n">
        <v>9</v>
      </c>
      <c r="D109" s="5" t="inlineStr">
        <is>
          <t>build2</t>
        </is>
      </c>
      <c r="E109" s="15" t="inlineStr">
        <is>
          <t>run</t>
        </is>
      </c>
      <c r="F109" s="7" t="inlineStr">
        <is>
          <t>Easy run — 3 km</t>
        </is>
      </c>
      <c r="G109" s="5" t="inlineStr">
        <is>
          <t>22–25 min</t>
        </is>
      </c>
      <c r="H109" s="8" t="n"/>
      <c r="I109" s="9" t="n">
        <v>3</v>
      </c>
      <c r="J109" s="10" t="n"/>
      <c r="K109" s="11" t="n"/>
      <c r="L109" s="12" t="n"/>
      <c r="M109" s="10" t="n"/>
      <c r="N109" s="10" t="n"/>
      <c r="O109" s="13" t="n"/>
      <c r="P109" s="7" t="inlineStr">
        <is>
          <t>Easy. Save it for Sunday.</t>
        </is>
      </c>
    </row>
    <row r="110">
      <c r="A110" s="4" t="inlineStr">
        <is>
          <t>2026-11-17</t>
        </is>
      </c>
      <c r="B110" s="5" t="inlineStr">
        <is>
          <t>Tue</t>
        </is>
      </c>
      <c r="C110" s="5" t="n">
        <v>9</v>
      </c>
      <c r="D110" s="5" t="inlineStr">
        <is>
          <t>build2</t>
        </is>
      </c>
      <c r="E110" s="16" t="inlineStr">
        <is>
          <t>recovery</t>
        </is>
      </c>
      <c r="F110" s="7" t="inlineStr">
        <is>
          <t>Mobility + lower-leg prehab</t>
        </is>
      </c>
      <c r="G110" s="5" t="inlineStr">
        <is>
          <t>15 min</t>
        </is>
      </c>
      <c r="H110" s="8" t="n"/>
      <c r="I110" s="9" t="n"/>
      <c r="J110" s="10" t="n"/>
      <c r="K110" s="11" t="n"/>
      <c r="L110" s="12" t="n"/>
      <c r="M110" s="10" t="n"/>
      <c r="N110" s="10" t="n"/>
      <c r="O110" s="13" t="n"/>
      <c r="P110" s="7" t="inlineStr">
        <is>
          <t>Ankle dorsiflexion (knee-to-wall), calf and soleus stretch, hip flexors, thoracic rotation, and 3 × 20 tibialis raises. Ten minutes of this beats an hour once a month.</t>
        </is>
      </c>
    </row>
    <row r="111">
      <c r="A111" s="4" t="inlineStr">
        <is>
          <t>2026-11-18</t>
        </is>
      </c>
      <c r="B111" s="5" t="inlineStr">
        <is>
          <t>Wed</t>
        </is>
      </c>
      <c r="C111" s="5" t="n">
        <v>9</v>
      </c>
      <c r="D111" s="5" t="inlineStr">
        <is>
          <t>build2</t>
        </is>
      </c>
      <c r="E111" s="6" t="inlineStr">
        <is>
          <t>swim</t>
        </is>
      </c>
      <c r="F111" s="7" t="inlineStr">
        <is>
          <t>Swim — speed 30 × 50</t>
        </is>
      </c>
      <c r="G111" s="5" t="inlineStr">
        <is>
          <t>2,600 yd · 58–76 min</t>
        </is>
      </c>
      <c r="H111" s="8" t="n">
        <v>2600</v>
      </c>
      <c r="I111" s="9" t="n"/>
      <c r="J111" s="10" t="n"/>
      <c r="K111" s="11" t="n"/>
      <c r="L111" s="12" t="n"/>
      <c r="M111" s="10" t="n"/>
      <c r="N111" s="10" t="n"/>
      <c r="O111" s="13" t="n"/>
      <c r="P111" s="7" t="inlineStr">
        <is>
          <t>Warm-up 300. Drill 400. Paddles 400. Main: 30 × 50 on 1:05, alternating aerobic and fast. Then 4 × 50 breaststroke. Cool-down 200. Long 50s set — the goal is that number 30 looks like number 1.</t>
        </is>
      </c>
    </row>
    <row r="112">
      <c r="A112" s="4" t="inlineStr">
        <is>
          <t>2026-11-18</t>
        </is>
      </c>
      <c r="B112" s="5" t="inlineStr">
        <is>
          <t>Wed</t>
        </is>
      </c>
      <c r="C112" s="5" t="n">
        <v>9</v>
      </c>
      <c r="D112" s="5" t="inlineStr">
        <is>
          <t>build2</t>
        </is>
      </c>
      <c r="E112" s="17" t="inlineStr">
        <is>
          <t>bike</t>
        </is>
      </c>
      <c r="F112" s="7" t="inlineStr">
        <is>
          <t>Spin bike — sweet spot 4 × 12 min</t>
        </is>
      </c>
      <c r="G112" s="5" t="inlineStr">
        <is>
          <t>60 min</t>
        </is>
      </c>
      <c r="H112" s="8" t="n"/>
      <c r="I112" s="9" t="n"/>
      <c r="J112" s="10" t="n"/>
      <c r="K112" s="11" t="n"/>
      <c r="L112" s="12" t="n"/>
      <c r="M112" s="10" t="n"/>
      <c r="N112" s="10" t="n"/>
      <c r="O112" s="13" t="n"/>
      <c r="P112" s="7" t="inlineStr">
        <is>
          <t>4 × 12 min at 88–93% FTP, 4 min easy. Long sweet-spot blocks are the most useful 70.3 preparation you can do indoors.</t>
        </is>
      </c>
    </row>
    <row r="113">
      <c r="A113" s="4" t="inlineStr">
        <is>
          <t>2026-11-19</t>
        </is>
      </c>
      <c r="B113" s="5" t="inlineStr">
        <is>
          <t>Thu</t>
        </is>
      </c>
      <c r="C113" s="5" t="n">
        <v>9</v>
      </c>
      <c r="D113" s="5" t="inlineStr">
        <is>
          <t>build2</t>
        </is>
      </c>
      <c r="E113" s="15" t="inlineStr">
        <is>
          <t>run</t>
        </is>
      </c>
      <c r="F113" s="7" t="inlineStr">
        <is>
          <t>Quality run — 4 × 3 min (≈5 km)</t>
        </is>
      </c>
      <c r="G113" s="5" t="inlineStr">
        <is>
          <t>35 min</t>
        </is>
      </c>
      <c r="H113" s="8" t="n"/>
      <c r="I113" s="9" t="n">
        <v>5</v>
      </c>
      <c r="J113" s="10" t="n"/>
      <c r="K113" s="11" t="n"/>
      <c r="L113" s="12" t="n"/>
      <c r="M113" s="10" t="n"/>
      <c r="N113" s="10" t="n"/>
      <c r="O113" s="13" t="n"/>
      <c r="P113" s="7" t="inlineStr">
        <is>
          <t>Warm-up 10 min. Then 4 × 3 min at 5-mile race effort (roughly 4:55–5:10/km) with 2 min easy between. Cool-down 10 min. First taste of race pace.</t>
        </is>
      </c>
    </row>
    <row r="114">
      <c r="A114" s="4" t="inlineStr">
        <is>
          <t>2026-11-19</t>
        </is>
      </c>
      <c r="B114" s="5" t="inlineStr">
        <is>
          <t>Thu</t>
        </is>
      </c>
      <c r="C114" s="5" t="n">
        <v>9</v>
      </c>
      <c r="D114" s="5" t="inlineStr">
        <is>
          <t>build2</t>
        </is>
      </c>
      <c r="E114" s="14" t="inlineStr">
        <is>
          <t>strength</t>
        </is>
      </c>
      <c r="F114" s="7" t="inlineStr">
        <is>
          <t>Strength B — Bulgarian split squat + hips and core</t>
        </is>
      </c>
      <c r="G114" s="5" t="inlineStr">
        <is>
          <t>45–55 min</t>
        </is>
      </c>
      <c r="H114" s="8" t="n"/>
      <c r="I114" s="9" t="n"/>
      <c r="J114" s="10" t="n"/>
      <c r="K114" s="11" t="n"/>
      <c r="L114" s="12" t="n"/>
      <c r="M114" s="10" t="n"/>
      <c r="N114" s="10" t="n"/>
      <c r="O114" s="13" t="n"/>
      <c r="P114" s="7" t="inlineStr">
        <is>
          <t>Standard Strength B.</t>
        </is>
      </c>
    </row>
    <row r="115">
      <c r="A115" s="4" t="inlineStr">
        <is>
          <t>2026-11-20</t>
        </is>
      </c>
      <c r="B115" s="5" t="inlineStr">
        <is>
          <t>Fri</t>
        </is>
      </c>
      <c r="C115" s="5" t="n">
        <v>9</v>
      </c>
      <c r="D115" s="5" t="inlineStr">
        <is>
          <t>build2</t>
        </is>
      </c>
      <c r="E115" s="6" t="inlineStr">
        <is>
          <t>swim</t>
        </is>
      </c>
      <c r="F115" s="7" t="inlineStr">
        <is>
          <t>Swim — long aerobic 2,000</t>
        </is>
      </c>
      <c r="G115" s="5" t="inlineStr">
        <is>
          <t>3,000 yd · 67–88 min</t>
        </is>
      </c>
      <c r="H115" s="8" t="n">
        <v>3000</v>
      </c>
      <c r="I115" s="9" t="n"/>
      <c r="J115" s="10" t="n"/>
      <c r="K115" s="11" t="n"/>
      <c r="L115" s="12" t="n"/>
      <c r="M115" s="10" t="n"/>
      <c r="N115" s="10" t="n"/>
      <c r="O115" s="13" t="n"/>
      <c r="P115" s="7" t="inlineStr">
        <is>
          <t>Warm-up 300. Main: 2,000 continuous, then 6 × 100 at CSS. Cool-down 300. Two thousand yards without stopping. Compare the HR drift to the Week 1 1,000 — this is the headline number for whether the plateau broke.</t>
        </is>
      </c>
    </row>
    <row r="116">
      <c r="A116" s="4" t="inlineStr">
        <is>
          <t>2026-11-21</t>
        </is>
      </c>
      <c r="B116" s="5" t="inlineStr">
        <is>
          <t>Sat</t>
        </is>
      </c>
      <c r="C116" s="5" t="n">
        <v>9</v>
      </c>
      <c r="D116" s="5" t="inlineStr">
        <is>
          <t>build2</t>
        </is>
      </c>
      <c r="E116" s="18" t="inlineStr">
        <is>
          <t>hike</t>
        </is>
      </c>
      <c r="F116" s="7" t="inlineStr">
        <is>
          <t>Weekend aerobic — ride or hike</t>
        </is>
      </c>
      <c r="G116" s="5" t="inlineStr">
        <is>
          <t>2.5–3 hr</t>
        </is>
      </c>
      <c r="H116" s="8" t="n"/>
      <c r="I116" s="9" t="n"/>
      <c r="J116" s="10" t="n"/>
      <c r="K116" s="11" t="n"/>
      <c r="L116" s="12" t="n"/>
      <c r="M116" s="10" t="n"/>
      <c r="N116" s="10" t="n"/>
      <c r="O116" s="13" t="n"/>
      <c r="P116" s="7" t="inlineStr">
        <is>
          <t>Keep it aerobic. Big week, so err easy.</t>
        </is>
      </c>
    </row>
    <row r="117">
      <c r="A117" s="4" t="inlineStr">
        <is>
          <t>2026-11-21</t>
        </is>
      </c>
      <c r="B117" s="5" t="inlineStr">
        <is>
          <t>Sat</t>
        </is>
      </c>
      <c r="C117" s="5" t="n">
        <v>9</v>
      </c>
      <c r="D117" s="5" t="inlineStr">
        <is>
          <t>build2</t>
        </is>
      </c>
      <c r="E117" s="6" t="inlineStr">
        <is>
          <t>swim</t>
        </is>
      </c>
      <c r="F117" s="7" t="inlineStr">
        <is>
          <t>Technique swim (short)</t>
        </is>
      </c>
      <c r="G117" s="5" t="inlineStr">
        <is>
          <t>1,400 yd · 31–41 min</t>
        </is>
      </c>
      <c r="H117" s="8" t="n">
        <v>1400</v>
      </c>
      <c r="I117" s="9" t="n"/>
      <c r="J117" s="10" t="n"/>
      <c r="K117" s="11" t="n"/>
      <c r="L117" s="12" t="n"/>
      <c r="M117" s="10" t="n"/>
      <c r="N117" s="10" t="n"/>
      <c r="O117" s="13" t="n"/>
      <c r="P117" s="7" t="inlineStr">
        <is>
          <t>No clock, no main set. Snorkel and fins for the first half, then easy 50s holding the feel. This session exists to raise frequency and keep the stroke fresh — leave the pool fresher than you arrived.</t>
        </is>
      </c>
    </row>
    <row r="118">
      <c r="A118" s="4" t="inlineStr">
        <is>
          <t>2026-11-22</t>
        </is>
      </c>
      <c r="B118" s="5" t="inlineStr">
        <is>
          <t>Sun</t>
        </is>
      </c>
      <c r="C118" s="5" t="n">
        <v>9</v>
      </c>
      <c r="D118" s="5" t="inlineStr">
        <is>
          <t>build2</t>
        </is>
      </c>
      <c r="E118" s="15" t="inlineStr">
        <is>
          <t>run</t>
        </is>
      </c>
      <c r="F118" s="7" t="inlineStr">
        <is>
          <t>Long run — 10 km</t>
        </is>
      </c>
      <c r="G118" s="5" t="inlineStr">
        <is>
          <t>62–68 min</t>
        </is>
      </c>
      <c r="H118" s="8" t="n"/>
      <c r="I118" s="9" t="n">
        <v>10</v>
      </c>
      <c r="J118" s="10" t="n"/>
      <c r="K118" s="11" t="n"/>
      <c r="L118" s="12" t="n"/>
      <c r="M118" s="10" t="n"/>
      <c r="N118" s="10" t="n"/>
      <c r="O118" s="13" t="n"/>
      <c r="P118" s="7" t="inlineStr">
        <is>
          <t>Peak long run, comfortably over race distance. Easy pace, soft surface. This is the run that makes Dec 5 feel short — and the last long one before the race.</t>
        </is>
      </c>
    </row>
    <row r="119">
      <c r="A119" s="4" t="inlineStr">
        <is>
          <t>2026-11-22</t>
        </is>
      </c>
      <c r="B119" s="5" t="inlineStr">
        <is>
          <t>Sun</t>
        </is>
      </c>
      <c r="C119" s="5" t="n">
        <v>9</v>
      </c>
      <c r="D119" s="5" t="inlineStr">
        <is>
          <t>build2</t>
        </is>
      </c>
      <c r="E119" s="16" t="inlineStr">
        <is>
          <t>recovery</t>
        </is>
      </c>
      <c r="F119" s="7" t="inlineStr">
        <is>
          <t>Mobility + lower-leg prehab</t>
        </is>
      </c>
      <c r="G119" s="5" t="inlineStr">
        <is>
          <t>25 min</t>
        </is>
      </c>
      <c r="H119" s="8" t="n"/>
      <c r="I119" s="9" t="n"/>
      <c r="J119" s="10" t="n"/>
      <c r="K119" s="11" t="n"/>
      <c r="L119" s="12" t="n"/>
      <c r="M119" s="10" t="n"/>
      <c r="N119" s="10" t="n"/>
      <c r="O119" s="13" t="n"/>
      <c r="P119" s="7" t="inlineStr">
        <is>
          <t>Full mobility. Pack for Edmonton.</t>
        </is>
      </c>
    </row>
    <row r="120">
      <c r="A120" s="4" t="inlineStr">
        <is>
          <t>2026-11-23</t>
        </is>
      </c>
      <c r="B120" s="5" t="inlineStr">
        <is>
          <t>Mon</t>
        </is>
      </c>
      <c r="C120" s="5" t="n">
        <v>10</v>
      </c>
      <c r="D120" s="5" t="inlineStr">
        <is>
          <t>build2</t>
        </is>
      </c>
      <c r="E120" s="6" t="inlineStr">
        <is>
          <t>swim</t>
        </is>
      </c>
      <c r="F120" s="7" t="inlineStr">
        <is>
          <t>Swim — threshold 3 × 400</t>
        </is>
      </c>
      <c r="G120" s="5" t="inlineStr">
        <is>
          <t>2,800 yd · 62–82 min</t>
        </is>
      </c>
      <c r="H120" s="8" t="n">
        <v>2800</v>
      </c>
      <c r="I120" s="9" t="n"/>
      <c r="J120" s="10" t="n"/>
      <c r="K120" s="11" t="n"/>
      <c r="L120" s="12" t="n"/>
      <c r="M120" s="10" t="n"/>
      <c r="N120" s="10" t="n"/>
      <c r="O120" s="13" t="n"/>
      <c r="P120" s="7" t="inlineStr">
        <is>
          <t>Warm-up 400. Drill 400. Main: 3 × 400 at CSS on 8:45. Cool-down 400. Longest threshold reps of the block — essentially a rehearsal for the 70.3 swim distance, broken.</t>
        </is>
      </c>
    </row>
    <row r="121">
      <c r="A121" s="4" t="inlineStr">
        <is>
          <t>2026-11-23</t>
        </is>
      </c>
      <c r="B121" s="5" t="inlineStr">
        <is>
          <t>Mon</t>
        </is>
      </c>
      <c r="C121" s="5" t="n">
        <v>10</v>
      </c>
      <c r="D121" s="5" t="inlineStr">
        <is>
          <t>build2</t>
        </is>
      </c>
      <c r="E121" s="14" t="inlineStr">
        <is>
          <t>strength</t>
        </is>
      </c>
      <c r="F121" s="7" t="inlineStr">
        <is>
          <t>Strength A — RDL + posterior chain</t>
        </is>
      </c>
      <c r="G121" s="5" t="inlineStr">
        <is>
          <t>45–55 min</t>
        </is>
      </c>
      <c r="H121" s="8" t="n"/>
      <c r="I121" s="9" t="n"/>
      <c r="J121" s="10" t="n"/>
      <c r="K121" s="11" t="n"/>
      <c r="L121" s="12" t="n"/>
      <c r="M121" s="10" t="n"/>
      <c r="N121" s="10" t="n"/>
      <c r="O121" s="13" t="n"/>
      <c r="P121" s="7" t="inlineStr">
        <is>
          <t>Standard Strength A.</t>
        </is>
      </c>
    </row>
    <row r="122">
      <c r="A122" s="4" t="inlineStr">
        <is>
          <t>2026-11-24</t>
        </is>
      </c>
      <c r="B122" s="5" t="inlineStr">
        <is>
          <t>Tue</t>
        </is>
      </c>
      <c r="C122" s="5" t="n">
        <v>10</v>
      </c>
      <c r="D122" s="5" t="inlineStr">
        <is>
          <t>build2</t>
        </is>
      </c>
      <c r="E122" s="15" t="inlineStr">
        <is>
          <t>run</t>
        </is>
      </c>
      <c r="F122" s="7" t="inlineStr">
        <is>
          <t>Easy run — 4 km</t>
        </is>
      </c>
      <c r="G122" s="5" t="inlineStr">
        <is>
          <t>28–30 min</t>
        </is>
      </c>
      <c r="H122" s="8" t="n"/>
      <c r="I122" s="9" t="n">
        <v>4</v>
      </c>
      <c r="J122" s="10" t="n"/>
      <c r="K122" s="11" t="n"/>
      <c r="L122" s="12" t="n"/>
      <c r="M122" s="10" t="n"/>
      <c r="N122" s="10" t="n"/>
      <c r="O122" s="13" t="n"/>
      <c r="P122" s="7" t="inlineStr">
        <is>
          <t>Last Seattle run before the flight. Soft surface.</t>
        </is>
      </c>
    </row>
    <row r="123">
      <c r="A123" s="4" t="inlineStr">
        <is>
          <t>2026-11-24</t>
        </is>
      </c>
      <c r="B123" s="5" t="inlineStr">
        <is>
          <t>Tue</t>
        </is>
      </c>
      <c r="C123" s="5" t="n">
        <v>10</v>
      </c>
      <c r="D123" s="5" t="inlineStr">
        <is>
          <t>build2</t>
        </is>
      </c>
      <c r="E123" s="16" t="inlineStr">
        <is>
          <t>recovery</t>
        </is>
      </c>
      <c r="F123" s="7" t="inlineStr">
        <is>
          <t>Mobility + lower-leg prehab</t>
        </is>
      </c>
      <c r="G123" s="5" t="inlineStr">
        <is>
          <t>15 min</t>
        </is>
      </c>
      <c r="H123" s="8" t="n"/>
      <c r="I123" s="9" t="n"/>
      <c r="J123" s="10" t="n"/>
      <c r="K123" s="11" t="n"/>
      <c r="L123" s="12" t="n"/>
      <c r="M123" s="10" t="n"/>
      <c r="N123" s="10" t="n"/>
      <c r="O123" s="13" t="n"/>
      <c r="P123" s="7" t="inlineStr">
        <is>
          <t>Ankle dorsiflexion (knee-to-wall), calf and soleus stretch, hip flexors, thoracic rotation, and 3 × 20 tibialis raises. Ten minutes of this beats an hour once a month.</t>
        </is>
      </c>
    </row>
    <row r="124">
      <c r="A124" s="4" t="inlineStr">
        <is>
          <t>2026-11-25</t>
        </is>
      </c>
      <c r="B124" s="5" t="inlineStr">
        <is>
          <t>Wed</t>
        </is>
      </c>
      <c r="C124" s="5" t="n">
        <v>10</v>
      </c>
      <c r="D124" s="5" t="inlineStr">
        <is>
          <t>build2</t>
        </is>
      </c>
      <c r="E124" s="6" t="inlineStr">
        <is>
          <t>swim</t>
        </is>
      </c>
      <c r="F124" s="7" t="inlineStr">
        <is>
          <t>Swim — speed (Edmonton)</t>
        </is>
      </c>
      <c r="G124" s="5" t="inlineStr">
        <is>
          <t>2,400 yd · 53–71 min</t>
        </is>
      </c>
      <c r="H124" s="8" t="n">
        <v>2400</v>
      </c>
      <c r="I124" s="9" t="n"/>
      <c r="J124" s="10" t="n"/>
      <c r="K124" s="11" t="n"/>
      <c r="L124" s="12" t="n"/>
      <c r="M124" s="10" t="n"/>
      <c r="N124" s="10" t="n"/>
      <c r="O124" s="13" t="n"/>
      <c r="P124" s="7" t="inlineStr">
        <is>
          <t>Travel day. Warm-up 300. Drill 400. Main: 20 × 50 on 1:05 alternating. 4 × 50 breaststroke. Cool-down 200. Fit it around the flight — same gym, so no adaptation needed.</t>
        </is>
      </c>
    </row>
    <row r="125">
      <c r="A125" s="4" t="inlineStr">
        <is>
          <t>2026-11-25</t>
        </is>
      </c>
      <c r="B125" s="5" t="inlineStr">
        <is>
          <t>Wed</t>
        </is>
      </c>
      <c r="C125" s="5" t="n">
        <v>10</v>
      </c>
      <c r="D125" s="5" t="inlineStr">
        <is>
          <t>build2</t>
        </is>
      </c>
      <c r="E125" s="16" t="inlineStr">
        <is>
          <t>recovery</t>
        </is>
      </c>
      <c r="F125" s="7" t="inlineStr">
        <is>
          <t>Mobility + lower-leg prehab</t>
        </is>
      </c>
      <c r="G125" s="5" t="inlineStr">
        <is>
          <t>15 min</t>
        </is>
      </c>
      <c r="H125" s="8" t="n"/>
      <c r="I125" s="9" t="n"/>
      <c r="J125" s="10" t="n"/>
      <c r="K125" s="11" t="n"/>
      <c r="L125" s="12" t="n"/>
      <c r="M125" s="10" t="n"/>
      <c r="N125" s="10" t="n"/>
      <c r="O125" s="13" t="n"/>
      <c r="P125" s="7" t="inlineStr">
        <is>
          <t>Travel mobility.</t>
        </is>
      </c>
    </row>
    <row r="126">
      <c r="A126" s="4" t="inlineStr">
        <is>
          <t>2026-11-26</t>
        </is>
      </c>
      <c r="B126" s="5" t="inlineStr">
        <is>
          <t>Thu</t>
        </is>
      </c>
      <c r="C126" s="5" t="n">
        <v>10</v>
      </c>
      <c r="D126" s="5" t="inlineStr">
        <is>
          <t>build2</t>
        </is>
      </c>
      <c r="E126" s="15" t="inlineStr">
        <is>
          <t>run</t>
        </is>
      </c>
      <c r="F126" s="7" t="inlineStr">
        <is>
          <t>Easy run — 4 km</t>
        </is>
      </c>
      <c r="G126" s="5" t="inlineStr">
        <is>
          <t>28–30 min</t>
        </is>
      </c>
      <c r="H126" s="8" t="n"/>
      <c r="I126" s="9" t="n">
        <v>4</v>
      </c>
      <c r="J126" s="10" t="n"/>
      <c r="K126" s="11" t="n"/>
      <c r="L126" s="12" t="n"/>
      <c r="M126" s="10" t="n"/>
      <c r="N126" s="10" t="n"/>
      <c r="O126" s="13" t="n"/>
      <c r="P126" s="7" t="inlineStr">
        <is>
          <t>Indoor track or treadmill. Edmonton in late November is icy and dark — this is the week to accept the treadmill rather than risk a fall.</t>
        </is>
      </c>
    </row>
    <row r="127">
      <c r="A127" s="4" t="inlineStr">
        <is>
          <t>2026-11-26</t>
        </is>
      </c>
      <c r="B127" s="5" t="inlineStr">
        <is>
          <t>Thu</t>
        </is>
      </c>
      <c r="C127" s="5" t="n">
        <v>10</v>
      </c>
      <c r="D127" s="5" t="inlineStr">
        <is>
          <t>build2</t>
        </is>
      </c>
      <c r="E127" s="14" t="inlineStr">
        <is>
          <t>strength</t>
        </is>
      </c>
      <c r="F127" s="7" t="inlineStr">
        <is>
          <t>Strength B — Bulgarian split squat + hips and core</t>
        </is>
      </c>
      <c r="G127" s="5" t="inlineStr">
        <is>
          <t>45–55 min</t>
        </is>
      </c>
      <c r="H127" s="8" t="n"/>
      <c r="I127" s="9" t="n"/>
      <c r="J127" s="10" t="n"/>
      <c r="K127" s="11" t="n"/>
      <c r="L127" s="12" t="n"/>
      <c r="M127" s="10" t="n"/>
      <c r="N127" s="10" t="n"/>
      <c r="O127" s="13" t="n"/>
      <c r="P127" s="7" t="inlineStr">
        <is>
          <t>Standard Strength B.</t>
        </is>
      </c>
    </row>
    <row r="128">
      <c r="A128" s="4" t="inlineStr">
        <is>
          <t>2026-11-27</t>
        </is>
      </c>
      <c r="B128" s="5" t="inlineStr">
        <is>
          <t>Fri</t>
        </is>
      </c>
      <c r="C128" s="5" t="n">
        <v>10</v>
      </c>
      <c r="D128" s="5" t="inlineStr">
        <is>
          <t>build2</t>
        </is>
      </c>
      <c r="E128" s="6" t="inlineStr">
        <is>
          <t>swim</t>
        </is>
      </c>
      <c r="F128" s="7" t="inlineStr">
        <is>
          <t>Swim — long aerobic 1,800</t>
        </is>
      </c>
      <c r="G128" s="5" t="inlineStr">
        <is>
          <t>2,800 yd · 62–82 min</t>
        </is>
      </c>
      <c r="H128" s="8" t="n">
        <v>2800</v>
      </c>
      <c r="I128" s="9" t="n"/>
      <c r="J128" s="10" t="n"/>
      <c r="K128" s="11" t="n"/>
      <c r="L128" s="12" t="n"/>
      <c r="M128" s="10" t="n"/>
      <c r="N128" s="10" t="n"/>
      <c r="O128" s="13" t="n"/>
      <c r="P128" s="7" t="inlineStr">
        <is>
          <t>Warm-up 300. Main: 1,800 continuous, then 6 × 100 at CSS. Cool-down 300.</t>
        </is>
      </c>
    </row>
    <row r="129">
      <c r="A129" s="4" t="inlineStr">
        <is>
          <t>2026-11-27</t>
        </is>
      </c>
      <c r="B129" s="5" t="inlineStr">
        <is>
          <t>Fri</t>
        </is>
      </c>
      <c r="C129" s="5" t="n">
        <v>10</v>
      </c>
      <c r="D129" s="5" t="inlineStr">
        <is>
          <t>build2</t>
        </is>
      </c>
      <c r="E129" s="17" t="inlineStr">
        <is>
          <t>bike</t>
        </is>
      </c>
      <c r="F129" s="7" t="inlineStr">
        <is>
          <t>Spin bike — Z2</t>
        </is>
      </c>
      <c r="G129" s="5" t="inlineStr">
        <is>
          <t>50 min</t>
        </is>
      </c>
      <c r="H129" s="8" t="n"/>
      <c r="I129" s="9" t="n"/>
      <c r="J129" s="10" t="n"/>
      <c r="K129" s="11" t="n"/>
      <c r="L129" s="12" t="n"/>
      <c r="M129" s="10" t="n"/>
      <c r="N129" s="10" t="n"/>
      <c r="O129" s="13" t="n"/>
      <c r="P129" s="7" t="inlineStr">
        <is>
          <t>Easy aerobic hour on the spin bike.</t>
        </is>
      </c>
    </row>
    <row r="130">
      <c r="A130" s="4" t="inlineStr">
        <is>
          <t>2026-11-28</t>
        </is>
      </c>
      <c r="B130" s="5" t="inlineStr">
        <is>
          <t>Sat</t>
        </is>
      </c>
      <c r="C130" s="5" t="n">
        <v>10</v>
      </c>
      <c r="D130" s="5" t="inlineStr">
        <is>
          <t>build2</t>
        </is>
      </c>
      <c r="E130" s="6" t="inlineStr">
        <is>
          <t>swim</t>
        </is>
      </c>
      <c r="F130" s="7" t="inlineStr">
        <is>
          <t>Technique swim (short)</t>
        </is>
      </c>
      <c r="G130" s="5" t="inlineStr">
        <is>
          <t>1,400 yd · 31–41 min</t>
        </is>
      </c>
      <c r="H130" s="8" t="n">
        <v>1400</v>
      </c>
      <c r="I130" s="9" t="n"/>
      <c r="J130" s="10" t="n"/>
      <c r="K130" s="11" t="n"/>
      <c r="L130" s="12" t="n"/>
      <c r="M130" s="10" t="n"/>
      <c r="N130" s="10" t="n"/>
      <c r="O130" s="13" t="n"/>
      <c r="P130" s="7" t="inlineStr">
        <is>
          <t>No clock, no main set. Snorkel and fins for the first half, then easy 50s holding the feel. This session exists to raise frequency and keep the stroke fresh — leave the pool fresher than you arrived.</t>
        </is>
      </c>
    </row>
    <row r="131">
      <c r="A131" s="4" t="inlineStr">
        <is>
          <t>2026-11-28</t>
        </is>
      </c>
      <c r="B131" s="5" t="inlineStr">
        <is>
          <t>Sat</t>
        </is>
      </c>
      <c r="C131" s="5" t="n">
        <v>10</v>
      </c>
      <c r="D131" s="5" t="inlineStr">
        <is>
          <t>build2</t>
        </is>
      </c>
      <c r="E131" s="18" t="inlineStr">
        <is>
          <t>hike</t>
        </is>
      </c>
      <c r="F131" s="7" t="inlineStr">
        <is>
          <t>Stairmaster + 20 lb pack</t>
        </is>
      </c>
      <c r="G131" s="5" t="inlineStr">
        <is>
          <t>40 min</t>
        </is>
      </c>
      <c r="H131" s="8" t="n"/>
      <c r="I131" s="9" t="n"/>
      <c r="J131" s="10" t="n"/>
      <c r="K131" s="11" t="n"/>
      <c r="L131" s="12" t="n"/>
      <c r="M131" s="10" t="n"/>
      <c r="N131" s="10" t="n"/>
      <c r="O131" s="13" t="n"/>
      <c r="P131" s="7" t="inlineStr">
        <is>
          <t>Biweekly Rainier maintenance.</t>
        </is>
      </c>
    </row>
    <row r="132">
      <c r="A132" s="4" t="inlineStr">
        <is>
          <t>2026-11-29</t>
        </is>
      </c>
      <c r="B132" s="5" t="inlineStr">
        <is>
          <t>Sun</t>
        </is>
      </c>
      <c r="C132" s="5" t="n">
        <v>10</v>
      </c>
      <c r="D132" s="5" t="inlineStr">
        <is>
          <t>build2</t>
        </is>
      </c>
      <c r="E132" s="15" t="inlineStr">
        <is>
          <t>run</t>
        </is>
      </c>
      <c r="F132" s="7" t="inlineStr">
        <is>
          <t>Long run — 7 km</t>
        </is>
      </c>
      <c r="G132" s="5" t="inlineStr">
        <is>
          <t>45–50 min</t>
        </is>
      </c>
      <c r="H132" s="8" t="n"/>
      <c r="I132" s="9" t="n">
        <v>7</v>
      </c>
      <c r="J132" s="10" t="n"/>
      <c r="K132" s="11" t="n"/>
      <c r="L132" s="12" t="n"/>
      <c r="M132" s="10" t="n"/>
      <c r="N132" s="10" t="n"/>
      <c r="O132" s="13" t="n"/>
      <c r="P132" s="7" t="inlineStr">
        <is>
          <t>Down-week long run, shorter than last week on purpose. Indoor track if the footing is bad.</t>
        </is>
      </c>
    </row>
    <row r="133">
      <c r="A133" s="4" t="inlineStr">
        <is>
          <t>2026-11-29</t>
        </is>
      </c>
      <c r="B133" s="5" t="inlineStr">
        <is>
          <t>Sun</t>
        </is>
      </c>
      <c r="C133" s="5" t="n">
        <v>10</v>
      </c>
      <c r="D133" s="5" t="inlineStr">
        <is>
          <t>build2</t>
        </is>
      </c>
      <c r="E133" s="16" t="inlineStr">
        <is>
          <t>recovery</t>
        </is>
      </c>
      <c r="F133" s="7" t="inlineStr">
        <is>
          <t>Mobility + lower-leg prehab</t>
        </is>
      </c>
      <c r="G133" s="5" t="inlineStr">
        <is>
          <t>20 min</t>
        </is>
      </c>
      <c r="H133" s="8" t="n"/>
      <c r="I133" s="9" t="n"/>
      <c r="J133" s="10" t="n"/>
      <c r="K133" s="11" t="n"/>
      <c r="L133" s="12" t="n"/>
      <c r="M133" s="10" t="n"/>
      <c r="N133" s="10" t="n"/>
      <c r="O133" s="13" t="n"/>
      <c r="P133" s="7" t="inlineStr">
        <is>
          <t>Mobility plus foot intrinsics.</t>
        </is>
      </c>
    </row>
    <row r="134">
      <c r="A134" s="4" t="inlineStr">
        <is>
          <t>2026-11-30</t>
        </is>
      </c>
      <c r="B134" s="5" t="inlineStr">
        <is>
          <t>Mon</t>
        </is>
      </c>
      <c r="C134" s="5" t="n">
        <v>11</v>
      </c>
      <c r="D134" s="5" t="inlineStr">
        <is>
          <t>build2</t>
        </is>
      </c>
      <c r="E134" s="6" t="inlineStr">
        <is>
          <t>swim</t>
        </is>
      </c>
      <c r="F134" s="7" t="inlineStr">
        <is>
          <t>Swim — threshold 10 × 100 (Edmonton)</t>
        </is>
      </c>
      <c r="G134" s="5" t="inlineStr">
        <is>
          <t>2,400 yd · 53–71 min</t>
        </is>
      </c>
      <c r="H134" s="8" t="n">
        <v>2400</v>
      </c>
      <c r="I134" s="9" t="n"/>
      <c r="J134" s="10" t="n"/>
      <c r="K134" s="11" t="n"/>
      <c r="L134" s="12" t="n"/>
      <c r="M134" s="10" t="n"/>
      <c r="N134" s="10" t="n"/>
      <c r="O134" s="13" t="n"/>
      <c r="P134" s="7" t="inlineStr">
        <is>
          <t>Warm-up 400. Drill 300. Main: 10 × 100 at CSS on 2:10 — the tightest send-off yet. Cool-down 300.</t>
        </is>
      </c>
    </row>
    <row r="135">
      <c r="A135" s="4" t="inlineStr">
        <is>
          <t>2026-11-30</t>
        </is>
      </c>
      <c r="B135" s="5" t="inlineStr">
        <is>
          <t>Mon</t>
        </is>
      </c>
      <c r="C135" s="5" t="n">
        <v>11</v>
      </c>
      <c r="D135" s="5" t="inlineStr">
        <is>
          <t>build2</t>
        </is>
      </c>
      <c r="E135" s="14" t="inlineStr">
        <is>
          <t>strength</t>
        </is>
      </c>
      <c r="F135" s="7" t="inlineStr">
        <is>
          <t>Strength A — RDL + posterior chain</t>
        </is>
      </c>
      <c r="G135" s="5" t="inlineStr">
        <is>
          <t>45–55 min</t>
        </is>
      </c>
      <c r="H135" s="8" t="n"/>
      <c r="I135" s="9" t="n"/>
      <c r="J135" s="10" t="n"/>
      <c r="K135" s="11" t="n"/>
      <c r="L135" s="12" t="n"/>
      <c r="M135" s="10" t="n"/>
      <c r="N135" s="10" t="n"/>
      <c r="O135" s="13" t="n"/>
      <c r="P135" s="7" t="inlineStr">
        <is>
          <t>Last full Strength A before the race. Normal loads — a 5 mile race does not need a strength taper.</t>
        </is>
      </c>
    </row>
    <row r="136">
      <c r="A136" s="4" t="inlineStr">
        <is>
          <t>2026-12-01</t>
        </is>
      </c>
      <c r="B136" s="5" t="inlineStr">
        <is>
          <t>Tue</t>
        </is>
      </c>
      <c r="C136" s="5" t="n">
        <v>11</v>
      </c>
      <c r="D136" s="5" t="inlineStr">
        <is>
          <t>build2</t>
        </is>
      </c>
      <c r="E136" s="15" t="inlineStr">
        <is>
          <t>run</t>
        </is>
      </c>
      <c r="F136" s="7" t="inlineStr">
        <is>
          <t>Easy run — 4 km</t>
        </is>
      </c>
      <c r="G136" s="5" t="inlineStr">
        <is>
          <t>25 min</t>
        </is>
      </c>
      <c r="H136" s="8" t="n"/>
      <c r="I136" s="9" t="n">
        <v>4</v>
      </c>
      <c r="J136" s="10" t="n"/>
      <c r="K136" s="11" t="n"/>
      <c r="L136" s="12" t="n"/>
      <c r="M136" s="10" t="n"/>
      <c r="N136" s="10" t="n"/>
      <c r="O136" s="13" t="n"/>
      <c r="P136" s="7" t="inlineStr">
        <is>
          <t>Travel day back to Seattle. Easy shakeout, whenever it fits.</t>
        </is>
      </c>
    </row>
    <row r="137">
      <c r="A137" s="4" t="inlineStr">
        <is>
          <t>2026-12-01</t>
        </is>
      </c>
      <c r="B137" s="5" t="inlineStr">
        <is>
          <t>Tue</t>
        </is>
      </c>
      <c r="C137" s="5" t="n">
        <v>11</v>
      </c>
      <c r="D137" s="5" t="inlineStr">
        <is>
          <t>build2</t>
        </is>
      </c>
      <c r="E137" s="16" t="inlineStr">
        <is>
          <t>recovery</t>
        </is>
      </c>
      <c r="F137" s="7" t="inlineStr">
        <is>
          <t>Mobility + lower-leg prehab</t>
        </is>
      </c>
      <c r="G137" s="5" t="inlineStr">
        <is>
          <t>15 min</t>
        </is>
      </c>
      <c r="H137" s="8" t="n"/>
      <c r="I137" s="9" t="n"/>
      <c r="J137" s="10" t="n"/>
      <c r="K137" s="11" t="n"/>
      <c r="L137" s="12" t="n"/>
      <c r="M137" s="10" t="n"/>
      <c r="N137" s="10" t="n"/>
      <c r="O137" s="13" t="n"/>
      <c r="P137" s="7" t="inlineStr">
        <is>
          <t>Ankle dorsiflexion (knee-to-wall), calf and soleus stretch, hip flexors, thoracic rotation, and 3 × 20 tibialis raises. Ten minutes of this beats an hour once a month.</t>
        </is>
      </c>
    </row>
    <row r="138">
      <c r="A138" s="4" t="inlineStr">
        <is>
          <t>2026-12-02</t>
        </is>
      </c>
      <c r="B138" s="5" t="inlineStr">
        <is>
          <t>Wed</t>
        </is>
      </c>
      <c r="C138" s="5" t="n">
        <v>11</v>
      </c>
      <c r="D138" s="5" t="inlineStr">
        <is>
          <t>build2</t>
        </is>
      </c>
      <c r="E138" s="6" t="inlineStr">
        <is>
          <t>swim</t>
        </is>
      </c>
      <c r="F138" s="7" t="inlineStr">
        <is>
          <t>Swim — speed</t>
        </is>
      </c>
      <c r="G138" s="5" t="inlineStr">
        <is>
          <t>2,200 yd · 49–65 min</t>
        </is>
      </c>
      <c r="H138" s="8" t="n">
        <v>2200</v>
      </c>
      <c r="I138" s="9" t="n"/>
      <c r="J138" s="10" t="n"/>
      <c r="K138" s="11" t="n"/>
      <c r="L138" s="12" t="n"/>
      <c r="M138" s="10" t="n"/>
      <c r="N138" s="10" t="n"/>
      <c r="O138" s="13" t="n"/>
      <c r="P138" s="7" t="inlineStr">
        <is>
          <t>Warm-up 300. Drill 400. Main: 16 × 50 on 1:05 alternating. 4 × 50 breaststroke. Cool-down 300.</t>
        </is>
      </c>
    </row>
    <row r="139">
      <c r="A139" s="4" t="inlineStr">
        <is>
          <t>2026-12-02</t>
        </is>
      </c>
      <c r="B139" s="5" t="inlineStr">
        <is>
          <t>Wed</t>
        </is>
      </c>
      <c r="C139" s="5" t="n">
        <v>11</v>
      </c>
      <c r="D139" s="5" t="inlineStr">
        <is>
          <t>build2</t>
        </is>
      </c>
      <c r="E139" s="17" t="inlineStr">
        <is>
          <t>bike</t>
        </is>
      </c>
      <c r="F139" s="7" t="inlineStr">
        <is>
          <t>Spin bike — easy Z2</t>
        </is>
      </c>
      <c r="G139" s="5" t="inlineStr">
        <is>
          <t>45 min</t>
        </is>
      </c>
      <c r="H139" s="8" t="n"/>
      <c r="I139" s="9" t="n"/>
      <c r="J139" s="10" t="n"/>
      <c r="K139" s="11" t="n"/>
      <c r="L139" s="12" t="n"/>
      <c r="M139" s="10" t="n"/>
      <c r="N139" s="10" t="n"/>
      <c r="O139" s="13" t="n"/>
      <c r="P139" s="7" t="inlineStr">
        <is>
          <t>Keep it aerobic this week; no threshold work with a race on Saturday.</t>
        </is>
      </c>
    </row>
    <row r="140">
      <c r="A140" s="4" t="inlineStr">
        <is>
          <t>2026-12-03</t>
        </is>
      </c>
      <c r="B140" s="5" t="inlineStr">
        <is>
          <t>Thu</t>
        </is>
      </c>
      <c r="C140" s="5" t="n">
        <v>11</v>
      </c>
      <c r="D140" s="5" t="inlineStr">
        <is>
          <t>build2</t>
        </is>
      </c>
      <c r="E140" s="15" t="inlineStr">
        <is>
          <t>run</t>
        </is>
      </c>
      <c r="F140" s="7" t="inlineStr">
        <is>
          <t>Race primer — 4 × 90 s (≈4 km)</t>
        </is>
      </c>
      <c r="G140" s="5" t="inlineStr">
        <is>
          <t>28 min</t>
        </is>
      </c>
      <c r="H140" s="8" t="n"/>
      <c r="I140" s="9" t="n">
        <v>4</v>
      </c>
      <c r="J140" s="10" t="n"/>
      <c r="K140" s="11" t="n"/>
      <c r="L140" s="12" t="n"/>
      <c r="M140" s="10" t="n"/>
      <c r="N140" s="10" t="n"/>
      <c r="O140" s="13" t="n"/>
      <c r="P140" s="7" t="inlineStr">
        <is>
          <t>Warm-up 10 min. Then 4 × 90 s at 5-mile race pace with 90 s easy between. Cool-down 8 min. Short, sharp, and well short of fatiguing — this wakes the legs up rather than tiring them.</t>
        </is>
      </c>
    </row>
    <row r="141">
      <c r="A141" s="4" t="inlineStr">
        <is>
          <t>2026-12-03</t>
        </is>
      </c>
      <c r="B141" s="5" t="inlineStr">
        <is>
          <t>Thu</t>
        </is>
      </c>
      <c r="C141" s="5" t="n">
        <v>11</v>
      </c>
      <c r="D141" s="5" t="inlineStr">
        <is>
          <t>build2</t>
        </is>
      </c>
      <c r="E141" s="6" t="inlineStr">
        <is>
          <t>swim</t>
        </is>
      </c>
      <c r="F141" s="7" t="inlineStr">
        <is>
          <t>Technique swim (short)</t>
        </is>
      </c>
      <c r="G141" s="5" t="inlineStr">
        <is>
          <t>1,600 yd · 36–47 min</t>
        </is>
      </c>
      <c r="H141" s="8" t="n">
        <v>1600</v>
      </c>
      <c r="I141" s="9" t="n"/>
      <c r="J141" s="10" t="n"/>
      <c r="K141" s="11" t="n"/>
      <c r="L141" s="12" t="n"/>
      <c r="M141" s="10" t="n"/>
      <c r="N141" s="10" t="n"/>
      <c r="O141" s="13" t="n"/>
      <c r="P141" s="7" t="inlineStr">
        <is>
          <t>No clock, no main set. Snorkel and fins for the first half, then easy 50s holding the feel. This session exists to raise frequency and keep the stroke fresh — leave the pool fresher than you arrived.</t>
        </is>
      </c>
    </row>
    <row r="142">
      <c r="A142" s="4" t="inlineStr">
        <is>
          <t>2026-12-04</t>
        </is>
      </c>
      <c r="B142" s="5" t="inlineStr">
        <is>
          <t>Fri</t>
        </is>
      </c>
      <c r="C142" s="5" t="n">
        <v>11</v>
      </c>
      <c r="D142" s="5" t="inlineStr">
        <is>
          <t>build2</t>
        </is>
      </c>
      <c r="E142" s="6" t="inlineStr">
        <is>
          <t>swim</t>
        </is>
      </c>
      <c r="F142" s="7" t="inlineStr">
        <is>
          <t>Swim — easy aerobic</t>
        </is>
      </c>
      <c r="G142" s="5" t="inlineStr">
        <is>
          <t>1,800 yd · 40–53 min</t>
        </is>
      </c>
      <c r="H142" s="8" t="n">
        <v>1800</v>
      </c>
      <c r="I142" s="9" t="n"/>
      <c r="J142" s="10" t="n"/>
      <c r="K142" s="11" t="n"/>
      <c r="L142" s="12" t="n"/>
      <c r="M142" s="10" t="n"/>
      <c r="N142" s="10" t="n"/>
      <c r="O142" s="13" t="n"/>
      <c r="P142" s="7" t="inlineStr">
        <is>
          <t>Warm-up 300. Main 1,000 easy continuous. 4 × 50 breaststroke. Cool-down 200. Genuinely easy — you race tomorrow.</t>
        </is>
      </c>
    </row>
    <row r="143">
      <c r="A143" s="4" t="inlineStr">
        <is>
          <t>2026-12-04</t>
        </is>
      </c>
      <c r="B143" s="5" t="inlineStr">
        <is>
          <t>Fri</t>
        </is>
      </c>
      <c r="C143" s="5" t="n">
        <v>11</v>
      </c>
      <c r="D143" s="5" t="inlineStr">
        <is>
          <t>build2</t>
        </is>
      </c>
      <c r="E143" s="16" t="inlineStr">
        <is>
          <t>recovery</t>
        </is>
      </c>
      <c r="F143" s="7" t="inlineStr">
        <is>
          <t>Mobility + lower-leg prehab</t>
        </is>
      </c>
      <c r="G143" s="5" t="inlineStr">
        <is>
          <t>20 min</t>
        </is>
      </c>
      <c r="H143" s="8" t="n"/>
      <c r="I143" s="9" t="n"/>
      <c r="J143" s="10" t="n"/>
      <c r="K143" s="11" t="n"/>
      <c r="L143" s="12" t="n"/>
      <c r="M143" s="10" t="n"/>
      <c r="N143" s="10" t="n"/>
      <c r="O143" s="13" t="n"/>
      <c r="P143" s="7" t="inlineStr">
        <is>
          <t>Mobility and foot intrinsics. Lay out race kit; run in the orthotics you have trained in, not new ones.</t>
        </is>
      </c>
    </row>
    <row r="144">
      <c r="A144" s="4" t="inlineStr">
        <is>
          <t>2026-12-05</t>
        </is>
      </c>
      <c r="B144" s="5" t="inlineStr">
        <is>
          <t>Sat</t>
        </is>
      </c>
      <c r="C144" s="5" t="n">
        <v>11</v>
      </c>
      <c r="D144" s="5" t="inlineStr">
        <is>
          <t>build2</t>
        </is>
      </c>
      <c r="E144" s="15" t="inlineStr">
        <is>
          <t>run</t>
        </is>
      </c>
      <c r="F144" s="7" t="inlineStr">
        <is>
          <t>RACE — Redmond Reindeer Romp 5 mile (8 km)</t>
        </is>
      </c>
      <c r="G144" s="5" t="inlineStr">
        <is>
          <t>55–65 min</t>
        </is>
      </c>
      <c r="H144" s="8" t="n"/>
      <c r="I144" s="9" t="n">
        <v>8</v>
      </c>
      <c r="J144" s="10" t="n"/>
      <c r="K144" s="11" t="n"/>
      <c r="L144" s="12" t="n"/>
      <c r="M144" s="10" t="n"/>
      <c r="N144" s="10" t="n"/>
      <c r="O144" s="13" t="n"/>
      <c r="P144" s="7" t="inlineStr">
        <is>
          <t>Warm-up 1.5 km easy with 3 strides. Race: go out at 5:10/km for the first mile and let it come down — the classic error here is a first mile 20 s too fast. Target roughly 40–42 min if the shins are quiet; if they are not, run it as a steady effort and enjoy the morning. Cool-down 1 km.</t>
        </is>
      </c>
    </row>
    <row r="145">
      <c r="A145" s="4" t="inlineStr">
        <is>
          <t>2026-12-06</t>
        </is>
      </c>
      <c r="B145" s="5" t="inlineStr">
        <is>
          <t>Sun</t>
        </is>
      </c>
      <c r="C145" s="5" t="n">
        <v>11</v>
      </c>
      <c r="D145" s="5" t="inlineStr">
        <is>
          <t>build2</t>
        </is>
      </c>
      <c r="E145" s="6" t="inlineStr">
        <is>
          <t>swim</t>
        </is>
      </c>
      <c r="F145" s="7" t="inlineStr">
        <is>
          <t>Recovery swim</t>
        </is>
      </c>
      <c r="G145" s="5" t="inlineStr">
        <is>
          <t>1,200 yd · 27–35 min</t>
        </is>
      </c>
      <c r="H145" s="8" t="n">
        <v>1200</v>
      </c>
      <c r="I145" s="9" t="n"/>
      <c r="J145" s="10" t="n"/>
      <c r="K145" s="11" t="n"/>
      <c r="L145" s="12" t="n"/>
      <c r="M145" s="10" t="n"/>
      <c r="N145" s="10" t="n"/>
      <c r="O145" s="13" t="n"/>
      <c r="P145" s="7" t="inlineStr">
        <is>
          <t>Very easy. Flush the legs, loosen the shoulders, no pace work at all.</t>
        </is>
      </c>
    </row>
    <row r="146">
      <c r="A146" s="4" t="inlineStr">
        <is>
          <t>2026-12-06</t>
        </is>
      </c>
      <c r="B146" s="5" t="inlineStr">
        <is>
          <t>Sun</t>
        </is>
      </c>
      <c r="C146" s="5" t="n">
        <v>11</v>
      </c>
      <c r="D146" s="5" t="inlineStr">
        <is>
          <t>build2</t>
        </is>
      </c>
      <c r="E146" s="16" t="inlineStr">
        <is>
          <t>recovery</t>
        </is>
      </c>
      <c r="F146" s="7" t="inlineStr">
        <is>
          <t>Mobility + lower-leg prehab</t>
        </is>
      </c>
      <c r="G146" s="5" t="inlineStr">
        <is>
          <t>25 min</t>
        </is>
      </c>
      <c r="H146" s="8" t="n"/>
      <c r="I146" s="9" t="n"/>
      <c r="J146" s="10" t="n"/>
      <c r="K146" s="11" t="n"/>
      <c r="L146" s="12" t="n"/>
      <c r="M146" s="10" t="n"/>
      <c r="N146" s="10" t="n"/>
      <c r="O146" s="13" t="n"/>
      <c r="P146" s="7" t="inlineStr">
        <is>
          <t>Thorough post-race mobility. Calves and shins will be the sorest — be gentle, and do not stretch into compartment pain.</t>
        </is>
      </c>
    </row>
    <row r="147">
      <c r="A147" s="4" t="inlineStr">
        <is>
          <t>2026-12-07</t>
        </is>
      </c>
      <c r="B147" s="5" t="inlineStr">
        <is>
          <t>Mon</t>
        </is>
      </c>
      <c r="C147" s="5" t="n">
        <v>12</v>
      </c>
      <c r="D147" s="5" t="inlineStr">
        <is>
          <t>travel</t>
        </is>
      </c>
      <c r="E147" s="6" t="inlineStr">
        <is>
          <t>swim</t>
        </is>
      </c>
      <c r="F147" s="7" t="inlineStr">
        <is>
          <t>Swim — threshold 8 × 150</t>
        </is>
      </c>
      <c r="G147" s="5" t="inlineStr">
        <is>
          <t>2,400 yd · 53–71 min</t>
        </is>
      </c>
      <c r="H147" s="8" t="n">
        <v>2400</v>
      </c>
      <c r="I147" s="9" t="n"/>
      <c r="J147" s="10" t="n"/>
      <c r="K147" s="11" t="n"/>
      <c r="L147" s="12" t="n"/>
      <c r="M147" s="10" t="n"/>
      <c r="N147" s="10" t="n"/>
      <c r="O147" s="13" t="n"/>
      <c r="P147" s="7" t="inlineStr">
        <is>
          <t>Warm-up 400. Drill 400. Main: 8 × 150 at CSS on 3:20. Cool-down 400. Post-race, so the legs are tired but the shoulders are fine — swimming is the perfect recovery training.</t>
        </is>
      </c>
    </row>
    <row r="148">
      <c r="A148" s="4" t="inlineStr">
        <is>
          <t>2026-12-07</t>
        </is>
      </c>
      <c r="B148" s="5" t="inlineStr">
        <is>
          <t>Mon</t>
        </is>
      </c>
      <c r="C148" s="5" t="n">
        <v>12</v>
      </c>
      <c r="D148" s="5" t="inlineStr">
        <is>
          <t>travel</t>
        </is>
      </c>
      <c r="E148" s="17" t="inlineStr">
        <is>
          <t>bike</t>
        </is>
      </c>
      <c r="F148" s="7" t="inlineStr">
        <is>
          <t>Easy spin</t>
        </is>
      </c>
      <c r="G148" s="5" t="inlineStr">
        <is>
          <t>45 min</t>
        </is>
      </c>
      <c r="H148" s="8" t="n"/>
      <c r="I148" s="9" t="n"/>
      <c r="J148" s="10" t="n"/>
      <c r="K148" s="11" t="n"/>
      <c r="L148" s="12" t="n"/>
      <c r="M148" s="10" t="n"/>
      <c r="N148" s="10" t="n"/>
      <c r="O148" s="13" t="n"/>
      <c r="P148" s="7" t="inlineStr">
        <is>
          <t>Flush the legs after Saturday. No strength this week's start — let the race settle.</t>
        </is>
      </c>
    </row>
    <row r="149">
      <c r="A149" s="4" t="inlineStr">
        <is>
          <t>2026-12-08</t>
        </is>
      </c>
      <c r="B149" s="5" t="inlineStr">
        <is>
          <t>Tue</t>
        </is>
      </c>
      <c r="C149" s="5" t="n">
        <v>12</v>
      </c>
      <c r="D149" s="5" t="inlineStr">
        <is>
          <t>travel</t>
        </is>
      </c>
      <c r="E149" s="6" t="inlineStr">
        <is>
          <t>swim</t>
        </is>
      </c>
      <c r="F149" s="7" t="inlineStr">
        <is>
          <t>Swim — speed + breaststroke</t>
        </is>
      </c>
      <c r="G149" s="5" t="inlineStr">
        <is>
          <t>2,200 yd · 49–65 min</t>
        </is>
      </c>
      <c r="H149" s="8" t="n">
        <v>2200</v>
      </c>
      <c r="I149" s="9" t="n"/>
      <c r="J149" s="10" t="n"/>
      <c r="K149" s="11" t="n"/>
      <c r="L149" s="12" t="n"/>
      <c r="M149" s="10" t="n"/>
      <c r="N149" s="10" t="n"/>
      <c r="O149" s="13" t="n"/>
      <c r="P149" s="7" t="inlineStr">
        <is>
          <t>Warm-up 300. Drill 400. Main: 20 × 50 on 1:05 alternating. Then 200 breaststroke continuous — the Week 12 checkpoint. Cool-down 300.</t>
        </is>
      </c>
    </row>
    <row r="150">
      <c r="A150" s="4" t="inlineStr">
        <is>
          <t>2026-12-08</t>
        </is>
      </c>
      <c r="B150" s="5" t="inlineStr">
        <is>
          <t>Tue</t>
        </is>
      </c>
      <c r="C150" s="5" t="n">
        <v>12</v>
      </c>
      <c r="D150" s="5" t="inlineStr">
        <is>
          <t>travel</t>
        </is>
      </c>
      <c r="E150" s="15" t="inlineStr">
        <is>
          <t>run</t>
        </is>
      </c>
      <c r="F150" s="7" t="inlineStr">
        <is>
          <t>Easy run — 4 km</t>
        </is>
      </c>
      <c r="G150" s="5" t="inlineStr">
        <is>
          <t>28 min</t>
        </is>
      </c>
      <c r="H150" s="8" t="n"/>
      <c r="I150" s="9" t="n">
        <v>4</v>
      </c>
      <c r="J150" s="10" t="n"/>
      <c r="K150" s="11" t="n"/>
      <c r="L150" s="12" t="n"/>
      <c r="M150" s="10" t="n"/>
      <c r="N150" s="10" t="n"/>
      <c r="O150" s="13" t="n"/>
      <c r="P150" s="7" t="inlineStr">
        <is>
          <t>First run back after the race. Easy, short, soft surface.</t>
        </is>
      </c>
    </row>
    <row r="151">
      <c r="A151" s="4" t="inlineStr">
        <is>
          <t>2026-12-09</t>
        </is>
      </c>
      <c r="B151" s="5" t="inlineStr">
        <is>
          <t>Wed</t>
        </is>
      </c>
      <c r="C151" s="5" t="n">
        <v>12</v>
      </c>
      <c r="D151" s="5" t="inlineStr">
        <is>
          <t>travel</t>
        </is>
      </c>
      <c r="E151" s="6" t="inlineStr">
        <is>
          <t>swim</t>
        </is>
      </c>
      <c r="F151" s="7" t="inlineStr">
        <is>
          <t>Swim — long aerobic 1,400</t>
        </is>
      </c>
      <c r="G151" s="5" t="inlineStr">
        <is>
          <t>2,200 yd · 49–65 min</t>
        </is>
      </c>
      <c r="H151" s="8" t="n">
        <v>2200</v>
      </c>
      <c r="I151" s="9" t="n"/>
      <c r="J151" s="10" t="n"/>
      <c r="K151" s="11" t="n"/>
      <c r="L151" s="12" t="n"/>
      <c r="M151" s="10" t="n"/>
      <c r="N151" s="10" t="n"/>
      <c r="O151" s="13" t="n"/>
      <c r="P151" s="7" t="inlineStr">
        <is>
          <t>Warm-up 300. Main: 1,400 continuous, then 4 × 100 at CSS. Cool-down 300. Morning session — flight is at 4:30 pm. Three swims brings the week to about 6,800 yd, so the streak holds through the trip.</t>
        </is>
      </c>
    </row>
    <row r="152">
      <c r="A152" s="4" t="inlineStr">
        <is>
          <t>2026-12-09</t>
        </is>
      </c>
      <c r="B152" s="5" t="inlineStr">
        <is>
          <t>Wed</t>
        </is>
      </c>
      <c r="C152" s="5" t="n">
        <v>12</v>
      </c>
      <c r="D152" s="5" t="inlineStr">
        <is>
          <t>travel</t>
        </is>
      </c>
      <c r="E152" s="16" t="inlineStr">
        <is>
          <t>recovery</t>
        </is>
      </c>
      <c r="F152" s="7" t="inlineStr">
        <is>
          <t>Mobility + lower-leg prehab</t>
        </is>
      </c>
      <c r="G152" s="5" t="inlineStr">
        <is>
          <t>15 min</t>
        </is>
      </c>
      <c r="H152" s="8" t="n"/>
      <c r="I152" s="9" t="n"/>
      <c r="J152" s="10" t="n"/>
      <c r="K152" s="11" t="n"/>
      <c r="L152" s="12" t="n"/>
      <c r="M152" s="10" t="n"/>
      <c r="N152" s="10" t="n"/>
      <c r="O152" s="13" t="n"/>
      <c r="P152" s="7" t="inlineStr">
        <is>
          <t>Pre-flight mobility.</t>
        </is>
      </c>
    </row>
    <row r="153">
      <c r="A153" s="4" t="inlineStr">
        <is>
          <t>2026-12-10</t>
        </is>
      </c>
      <c r="B153" s="5" t="inlineStr">
        <is>
          <t>Thu</t>
        </is>
      </c>
      <c r="C153" s="5" t="n">
        <v>12</v>
      </c>
      <c r="D153" s="5" t="inlineStr">
        <is>
          <t>travel</t>
        </is>
      </c>
      <c r="E153" s="15" t="inlineStr">
        <is>
          <t>run</t>
        </is>
      </c>
      <c r="F153" s="7" t="inlineStr">
        <is>
          <t>Easy run — 5 km</t>
        </is>
      </c>
      <c r="G153" s="5" t="inlineStr">
        <is>
          <t>35 min</t>
        </is>
      </c>
      <c r="H153" s="8" t="n"/>
      <c r="I153" s="9" t="n">
        <v>5</v>
      </c>
      <c r="J153" s="10" t="n"/>
      <c r="K153" s="11" t="n"/>
      <c r="L153" s="12" t="n"/>
      <c r="M153" s="10" t="n"/>
      <c r="N153" s="10" t="n"/>
      <c r="O153" s="13" t="n"/>
      <c r="P153" s="7" t="inlineStr">
        <is>
          <t>Orlando, wedding day one. Get it done early — Florida in December is pleasant at 7 am and the day will get away from you. Easy pace.</t>
        </is>
      </c>
    </row>
    <row r="154">
      <c r="A154" s="4" t="inlineStr">
        <is>
          <t>2026-12-10</t>
        </is>
      </c>
      <c r="B154" s="5" t="inlineStr">
        <is>
          <t>Thu</t>
        </is>
      </c>
      <c r="C154" s="5" t="n">
        <v>12</v>
      </c>
      <c r="D154" s="5" t="inlineStr">
        <is>
          <t>travel</t>
        </is>
      </c>
      <c r="E154" s="16" t="inlineStr">
        <is>
          <t>recovery</t>
        </is>
      </c>
      <c r="F154" s="7" t="inlineStr">
        <is>
          <t>Mobility + lower-leg prehab</t>
        </is>
      </c>
      <c r="G154" s="5" t="inlineStr">
        <is>
          <t>15 min</t>
        </is>
      </c>
      <c r="H154" s="8" t="n"/>
      <c r="I154" s="9" t="n"/>
      <c r="J154" s="10" t="n"/>
      <c r="K154" s="11" t="n"/>
      <c r="L154" s="12" t="n"/>
      <c r="M154" s="10" t="n"/>
      <c r="N154" s="10" t="n"/>
      <c r="O154" s="13" t="n"/>
      <c r="P154" s="7" t="inlineStr">
        <is>
          <t>Ankle dorsiflexion (knee-to-wall), calf and soleus stretch, hip flexors, thoracic rotation, and 3 × 20 tibialis raises. Ten minutes of this beats an hour once a month.</t>
        </is>
      </c>
    </row>
    <row r="155">
      <c r="A155" s="4" t="inlineStr">
        <is>
          <t>2026-12-11</t>
        </is>
      </c>
      <c r="B155" s="5" t="inlineStr">
        <is>
          <t>Fri</t>
        </is>
      </c>
      <c r="C155" s="5" t="n">
        <v>12</v>
      </c>
      <c r="D155" s="5" t="inlineStr">
        <is>
          <t>travel</t>
        </is>
      </c>
      <c r="E155" s="16" t="inlineStr">
        <is>
          <t>recovery</t>
        </is>
      </c>
      <c r="F155" s="7" t="inlineStr">
        <is>
          <t>Walk + mobility</t>
        </is>
      </c>
      <c r="G155" s="5" t="inlineStr">
        <is>
          <t>20 min</t>
        </is>
      </c>
      <c r="H155" s="8" t="n"/>
      <c r="I155" s="9" t="n"/>
      <c r="J155" s="10" t="n"/>
      <c r="K155" s="11" t="n"/>
      <c r="L155" s="12" t="n"/>
      <c r="M155" s="10" t="n"/>
      <c r="N155" s="10" t="n"/>
      <c r="O155" s="13" t="n"/>
      <c r="P155" s="7" t="inlineStr">
        <is>
          <t>Orlando, wedding day two. Mobility and a walk rather than a run — you ran yesterday and the week's third run is Sunday in Miami. Three runs, 15 km, is the cap for a travel week.</t>
        </is>
      </c>
    </row>
    <row r="156">
      <c r="A156" s="4" t="inlineStr">
        <is>
          <t>2026-12-12</t>
        </is>
      </c>
      <c r="B156" s="5" t="inlineStr">
        <is>
          <t>Sat</t>
        </is>
      </c>
      <c r="C156" s="5" t="n">
        <v>12</v>
      </c>
      <c r="D156" s="5" t="inlineStr">
        <is>
          <t>travel</t>
        </is>
      </c>
      <c r="E156" s="14" t="inlineStr">
        <is>
          <t>strength</t>
        </is>
      </c>
      <c r="F156" s="7" t="inlineStr">
        <is>
          <t>Hotel gym / bodyweight circuit</t>
        </is>
      </c>
      <c r="G156" s="5" t="inlineStr">
        <is>
          <t>35–40 min</t>
        </is>
      </c>
      <c r="H156" s="8" t="n"/>
      <c r="I156" s="9" t="n"/>
      <c r="J156" s="10" t="n"/>
      <c r="K156" s="11" t="n"/>
      <c r="L156" s="12" t="n"/>
      <c r="M156" s="10" t="n"/>
      <c r="N156" s="10" t="n"/>
      <c r="O156" s="13" t="n"/>
      <c r="P156" s="7" t="inlineStr">
        <is>
          <t>Miami. 3 rounds of split squat 10/leg, banded RDL 15, calf raise 20, tibialis raise 20, Copenhagen plank 20 s/side, dead bug 10/side, plank 45 s. If the hotel gym has weights, swap in RDLs.</t>
        </is>
      </c>
    </row>
    <row r="157">
      <c r="A157" s="4" t="inlineStr">
        <is>
          <t>2026-12-12</t>
        </is>
      </c>
      <c r="B157" s="5" t="inlineStr">
        <is>
          <t>Sat</t>
        </is>
      </c>
      <c r="C157" s="5" t="n">
        <v>12</v>
      </c>
      <c r="D157" s="5" t="inlineStr">
        <is>
          <t>travel</t>
        </is>
      </c>
      <c r="E157" s="16" t="inlineStr">
        <is>
          <t>recovery</t>
        </is>
      </c>
      <c r="F157" s="7" t="inlineStr">
        <is>
          <t>Mobility + lower-leg prehab</t>
        </is>
      </c>
      <c r="G157" s="5" t="inlineStr">
        <is>
          <t>15 min</t>
        </is>
      </c>
      <c r="H157" s="8" t="n"/>
      <c r="I157" s="9" t="n"/>
      <c r="J157" s="10" t="n"/>
      <c r="K157" s="11" t="n"/>
      <c r="L157" s="12" t="n"/>
      <c r="M157" s="10" t="n"/>
      <c r="N157" s="10" t="n"/>
      <c r="O157" s="13" t="n"/>
      <c r="P157" s="7" t="inlineStr">
        <is>
          <t>Ankle dorsiflexion (knee-to-wall), calf and soleus stretch, hip flexors, thoracic rotation, and 3 × 20 tibialis raises. Ten minutes of this beats an hour once a month.</t>
        </is>
      </c>
    </row>
    <row r="158">
      <c r="A158" s="4" t="inlineStr">
        <is>
          <t>2026-12-13</t>
        </is>
      </c>
      <c r="B158" s="5" t="inlineStr">
        <is>
          <t>Sun</t>
        </is>
      </c>
      <c r="C158" s="5" t="n">
        <v>12</v>
      </c>
      <c r="D158" s="5" t="inlineStr">
        <is>
          <t>travel</t>
        </is>
      </c>
      <c r="E158" s="15" t="inlineStr">
        <is>
          <t>run</t>
        </is>
      </c>
      <c r="F158" s="7" t="inlineStr">
        <is>
          <t>Easy run — 6 km</t>
        </is>
      </c>
      <c r="G158" s="5" t="inlineStr">
        <is>
          <t>40 min</t>
        </is>
      </c>
      <c r="H158" s="8" t="n"/>
      <c r="I158" s="9" t="n">
        <v>6</v>
      </c>
      <c r="J158" s="10" t="n"/>
      <c r="K158" s="11" t="n"/>
      <c r="L158" s="12" t="n"/>
      <c r="M158" s="10" t="n"/>
      <c r="N158" s="10" t="n"/>
      <c r="O158" s="13" t="n"/>
      <c r="P158" s="7" t="inlineStr">
        <is>
          <t>Miami. Beach path or boardwalk, easy. If the hotel has a pool worth swimming in, an easy 800–1,000 yd afterwards is a bonus, not a requirement.</t>
        </is>
      </c>
    </row>
    <row r="159">
      <c r="A159" s="4" t="inlineStr">
        <is>
          <t>2026-12-13</t>
        </is>
      </c>
      <c r="B159" s="5" t="inlineStr">
        <is>
          <t>Sun</t>
        </is>
      </c>
      <c r="C159" s="5" t="n">
        <v>12</v>
      </c>
      <c r="D159" s="5" t="inlineStr">
        <is>
          <t>travel</t>
        </is>
      </c>
      <c r="E159" s="16" t="inlineStr">
        <is>
          <t>recovery</t>
        </is>
      </c>
      <c r="F159" s="7" t="inlineStr">
        <is>
          <t>Mobility + lower-leg prehab</t>
        </is>
      </c>
      <c r="G159" s="5" t="inlineStr">
        <is>
          <t>15 min</t>
        </is>
      </c>
      <c r="H159" s="8" t="n"/>
      <c r="I159" s="9" t="n"/>
      <c r="J159" s="10" t="n"/>
      <c r="K159" s="11" t="n"/>
      <c r="L159" s="12" t="n"/>
      <c r="M159" s="10" t="n"/>
      <c r="N159" s="10" t="n"/>
      <c r="O159" s="13" t="n"/>
      <c r="P159" s="7" t="inlineStr">
        <is>
          <t>Mobility and foot intrinsics.</t>
        </is>
      </c>
    </row>
    <row r="160">
      <c r="A160" s="4" t="inlineStr">
        <is>
          <t>2026-12-14</t>
        </is>
      </c>
      <c r="B160" s="5" t="inlineStr">
        <is>
          <t>Mon</t>
        </is>
      </c>
      <c r="C160" s="5" t="n">
        <v>13</v>
      </c>
      <c r="D160" s="5" t="inlineStr">
        <is>
          <t>travel</t>
        </is>
      </c>
      <c r="E160" s="6" t="inlineStr">
        <is>
          <t>swim</t>
        </is>
      </c>
      <c r="F160" s="7" t="inlineStr">
        <is>
          <t>Swim — threshold 5 × 200</t>
        </is>
      </c>
      <c r="G160" s="5" t="inlineStr">
        <is>
          <t>2,200 yd · 49–65 min</t>
        </is>
      </c>
      <c r="H160" s="8" t="n">
        <v>2200</v>
      </c>
      <c r="I160" s="9" t="n"/>
      <c r="J160" s="10" t="n"/>
      <c r="K160" s="11" t="n"/>
      <c r="L160" s="12" t="n"/>
      <c r="M160" s="10" t="n"/>
      <c r="N160" s="10" t="n"/>
      <c r="O160" s="13" t="n"/>
      <c r="P160" s="7" t="inlineStr">
        <is>
          <t>Warm-up 400. Drill 300. Main: 5 × 200 at CSS on 4:25. Cool-down 300. Back in a pool after four days off — ease into the first 200.</t>
        </is>
      </c>
    </row>
    <row r="161">
      <c r="A161" s="4" t="inlineStr">
        <is>
          <t>2026-12-14</t>
        </is>
      </c>
      <c r="B161" s="5" t="inlineStr">
        <is>
          <t>Mon</t>
        </is>
      </c>
      <c r="C161" s="5" t="n">
        <v>13</v>
      </c>
      <c r="D161" s="5" t="inlineStr">
        <is>
          <t>travel</t>
        </is>
      </c>
      <c r="E161" s="14" t="inlineStr">
        <is>
          <t>strength</t>
        </is>
      </c>
      <c r="F161" s="7" t="inlineStr">
        <is>
          <t>Strength A — RDL + posterior chain</t>
        </is>
      </c>
      <c r="G161" s="5" t="inlineStr">
        <is>
          <t>45–55 min</t>
        </is>
      </c>
      <c r="H161" s="8" t="n"/>
      <c r="I161" s="9" t="n"/>
      <c r="J161" s="10" t="n"/>
      <c r="K161" s="11" t="n"/>
      <c r="L161" s="12" t="n"/>
      <c r="M161" s="10" t="n"/>
      <c r="N161" s="10" t="n"/>
      <c r="O161" s="13" t="n"/>
      <c r="P161" s="7" t="inlineStr">
        <is>
          <t>First full lift since race week. Back the loads off slightly and rebuild.</t>
        </is>
      </c>
    </row>
    <row r="162">
      <c r="A162" s="4" t="inlineStr">
        <is>
          <t>2026-12-15</t>
        </is>
      </c>
      <c r="B162" s="5" t="inlineStr">
        <is>
          <t>Tue</t>
        </is>
      </c>
      <c r="C162" s="5" t="n">
        <v>13</v>
      </c>
      <c r="D162" s="5" t="inlineStr">
        <is>
          <t>travel</t>
        </is>
      </c>
      <c r="E162" s="15" t="inlineStr">
        <is>
          <t>run</t>
        </is>
      </c>
      <c r="F162" s="7" t="inlineStr">
        <is>
          <t>Easy run — 5 km</t>
        </is>
      </c>
      <c r="G162" s="5" t="inlineStr">
        <is>
          <t>35 min</t>
        </is>
      </c>
      <c r="H162" s="8" t="n"/>
      <c r="I162" s="9" t="n">
        <v>5</v>
      </c>
      <c r="J162" s="10" t="n"/>
      <c r="K162" s="11" t="n"/>
      <c r="L162" s="12" t="n"/>
      <c r="M162" s="10" t="n"/>
      <c r="N162" s="10" t="n"/>
      <c r="O162" s="13" t="n"/>
      <c r="P162" s="7" t="inlineStr">
        <is>
          <t>North Carolina. Explore — trails if there are any nearby.</t>
        </is>
      </c>
    </row>
    <row r="163">
      <c r="A163" s="4" t="inlineStr">
        <is>
          <t>2026-12-15</t>
        </is>
      </c>
      <c r="B163" s="5" t="inlineStr">
        <is>
          <t>Tue</t>
        </is>
      </c>
      <c r="C163" s="5" t="n">
        <v>13</v>
      </c>
      <c r="D163" s="5" t="inlineStr">
        <is>
          <t>travel</t>
        </is>
      </c>
      <c r="E163" s="16" t="inlineStr">
        <is>
          <t>recovery</t>
        </is>
      </c>
      <c r="F163" s="7" t="inlineStr">
        <is>
          <t>Mobility + lower-leg prehab</t>
        </is>
      </c>
      <c r="G163" s="5" t="inlineStr">
        <is>
          <t>15 min</t>
        </is>
      </c>
      <c r="H163" s="8" t="n"/>
      <c r="I163" s="9" t="n"/>
      <c r="J163" s="10" t="n"/>
      <c r="K163" s="11" t="n"/>
      <c r="L163" s="12" t="n"/>
      <c r="M163" s="10" t="n"/>
      <c r="N163" s="10" t="n"/>
      <c r="O163" s="13" t="n"/>
      <c r="P163" s="7" t="inlineStr">
        <is>
          <t>Ankle dorsiflexion (knee-to-wall), calf and soleus stretch, hip flexors, thoracic rotation, and 3 × 20 tibialis raises. Ten minutes of this beats an hour once a month.</t>
        </is>
      </c>
    </row>
    <row r="164">
      <c r="A164" s="4" t="inlineStr">
        <is>
          <t>2026-12-16</t>
        </is>
      </c>
      <c r="B164" s="5" t="inlineStr">
        <is>
          <t>Wed</t>
        </is>
      </c>
      <c r="C164" s="5" t="n">
        <v>13</v>
      </c>
      <c r="D164" s="5" t="inlineStr">
        <is>
          <t>travel</t>
        </is>
      </c>
      <c r="E164" s="6" t="inlineStr">
        <is>
          <t>swim</t>
        </is>
      </c>
      <c r="F164" s="7" t="inlineStr">
        <is>
          <t>Swim — speed 20 × 50</t>
        </is>
      </c>
      <c r="G164" s="5" t="inlineStr">
        <is>
          <t>2,200 yd · 49–65 min</t>
        </is>
      </c>
      <c r="H164" s="8" t="n">
        <v>2200</v>
      </c>
      <c r="I164" s="9" t="n"/>
      <c r="J164" s="10" t="n"/>
      <c r="K164" s="11" t="n"/>
      <c r="L164" s="12" t="n"/>
      <c r="M164" s="10" t="n"/>
      <c r="N164" s="10" t="n"/>
      <c r="O164" s="13" t="n"/>
      <c r="P164" s="7" t="inlineStr">
        <is>
          <t>Warm-up 300. Drill 400. Main: 20 × 50 on 1:05 alternating. 4 × 50 breaststroke. Cool-down 300.</t>
        </is>
      </c>
    </row>
    <row r="165">
      <c r="A165" s="4" t="inlineStr">
        <is>
          <t>2026-12-16</t>
        </is>
      </c>
      <c r="B165" s="5" t="inlineStr">
        <is>
          <t>Wed</t>
        </is>
      </c>
      <c r="C165" s="5" t="n">
        <v>13</v>
      </c>
      <c r="D165" s="5" t="inlineStr">
        <is>
          <t>travel</t>
        </is>
      </c>
      <c r="E165" s="17" t="inlineStr">
        <is>
          <t>bike</t>
        </is>
      </c>
      <c r="F165" s="7" t="inlineStr">
        <is>
          <t>Spin bike — sweet spot 3 × 10 min</t>
        </is>
      </c>
      <c r="G165" s="5" t="inlineStr">
        <is>
          <t>45 min</t>
        </is>
      </c>
      <c r="H165" s="8" t="n"/>
      <c r="I165" s="9" t="n"/>
      <c r="J165" s="10" t="n"/>
      <c r="K165" s="11" t="n"/>
      <c r="L165" s="12" t="n"/>
      <c r="M165" s="10" t="n"/>
      <c r="N165" s="10" t="n"/>
      <c r="O165" s="13" t="n"/>
      <c r="P165" s="7" t="inlineStr">
        <is>
          <t>3 × 10 min at 88–93% FTP, 4 min easy between.</t>
        </is>
      </c>
    </row>
    <row r="166">
      <c r="A166" s="4" t="inlineStr">
        <is>
          <t>2026-12-17</t>
        </is>
      </c>
      <c r="B166" s="5" t="inlineStr">
        <is>
          <t>Thu</t>
        </is>
      </c>
      <c r="C166" s="5" t="n">
        <v>13</v>
      </c>
      <c r="D166" s="5" t="inlineStr">
        <is>
          <t>travel</t>
        </is>
      </c>
      <c r="E166" s="15" t="inlineStr">
        <is>
          <t>run</t>
        </is>
      </c>
      <c r="F166" s="7" t="inlineStr">
        <is>
          <t>Easy run — 4 km</t>
        </is>
      </c>
      <c r="G166" s="5" t="inlineStr">
        <is>
          <t>30 min</t>
        </is>
      </c>
      <c r="H166" s="8" t="n"/>
      <c r="I166" s="9" t="n">
        <v>4</v>
      </c>
      <c r="J166" s="10" t="n"/>
      <c r="K166" s="11" t="n"/>
      <c r="L166" s="12" t="n"/>
      <c r="M166" s="10" t="n"/>
      <c r="N166" s="10" t="n"/>
      <c r="O166" s="13" t="n"/>
      <c r="P166" s="7" t="inlineStr">
        <is>
          <t>Travel day home. Morning run before the flight.</t>
        </is>
      </c>
    </row>
    <row r="167">
      <c r="A167" s="4" t="inlineStr">
        <is>
          <t>2026-12-17</t>
        </is>
      </c>
      <c r="B167" s="5" t="inlineStr">
        <is>
          <t>Thu</t>
        </is>
      </c>
      <c r="C167" s="5" t="n">
        <v>13</v>
      </c>
      <c r="D167" s="5" t="inlineStr">
        <is>
          <t>travel</t>
        </is>
      </c>
      <c r="E167" s="16" t="inlineStr">
        <is>
          <t>recovery</t>
        </is>
      </c>
      <c r="F167" s="7" t="inlineStr">
        <is>
          <t>Mobility + lower-leg prehab</t>
        </is>
      </c>
      <c r="G167" s="5" t="inlineStr">
        <is>
          <t>15 min</t>
        </is>
      </c>
      <c r="H167" s="8" t="n"/>
      <c r="I167" s="9" t="n"/>
      <c r="J167" s="10" t="n"/>
      <c r="K167" s="11" t="n"/>
      <c r="L167" s="12" t="n"/>
      <c r="M167" s="10" t="n"/>
      <c r="N167" s="10" t="n"/>
      <c r="O167" s="13" t="n"/>
      <c r="P167" s="7" t="inlineStr">
        <is>
          <t>Travel mobility.</t>
        </is>
      </c>
    </row>
    <row r="168">
      <c r="A168" s="4" t="inlineStr">
        <is>
          <t>2026-12-18</t>
        </is>
      </c>
      <c r="B168" s="5" t="inlineStr">
        <is>
          <t>Fri</t>
        </is>
      </c>
      <c r="C168" s="5" t="n">
        <v>13</v>
      </c>
      <c r="D168" s="5" t="inlineStr">
        <is>
          <t>travel</t>
        </is>
      </c>
      <c r="E168" s="6" t="inlineStr">
        <is>
          <t>swim</t>
        </is>
      </c>
      <c r="F168" s="7" t="inlineStr">
        <is>
          <t>Swim — long aerobic 1,600</t>
        </is>
      </c>
      <c r="G168" s="5" t="inlineStr">
        <is>
          <t>2,400 yd · 53–71 min</t>
        </is>
      </c>
      <c r="H168" s="8" t="n">
        <v>2400</v>
      </c>
      <c r="I168" s="9" t="n"/>
      <c r="J168" s="10" t="n"/>
      <c r="K168" s="11" t="n"/>
      <c r="L168" s="12" t="n"/>
      <c r="M168" s="10" t="n"/>
      <c r="N168" s="10" t="n"/>
      <c r="O168" s="13" t="n"/>
      <c r="P168" s="7" t="inlineStr">
        <is>
          <t>Warm-up 300. Main: 1,600 continuous, then 4 × 100 at CSS. Cool-down 300. Home pool.</t>
        </is>
      </c>
    </row>
    <row r="169">
      <c r="A169" s="4" t="inlineStr">
        <is>
          <t>2026-12-18</t>
        </is>
      </c>
      <c r="B169" s="5" t="inlineStr">
        <is>
          <t>Fri</t>
        </is>
      </c>
      <c r="C169" s="5" t="n">
        <v>13</v>
      </c>
      <c r="D169" s="5" t="inlineStr">
        <is>
          <t>travel</t>
        </is>
      </c>
      <c r="E169" s="14" t="inlineStr">
        <is>
          <t>strength</t>
        </is>
      </c>
      <c r="F169" s="7" t="inlineStr">
        <is>
          <t>Strength B — Bulgarian split squat + hips and core</t>
        </is>
      </c>
      <c r="G169" s="5" t="inlineStr">
        <is>
          <t>45–55 min</t>
        </is>
      </c>
      <c r="H169" s="8" t="n"/>
      <c r="I169" s="9" t="n"/>
      <c r="J169" s="10" t="n"/>
      <c r="K169" s="11" t="n"/>
      <c r="L169" s="12" t="n"/>
      <c r="M169" s="10" t="n"/>
      <c r="N169" s="10" t="n"/>
      <c r="O169" s="13" t="n"/>
      <c r="P169" s="7" t="inlineStr">
        <is>
          <t>Standard Strength B.</t>
        </is>
      </c>
    </row>
    <row r="170">
      <c r="A170" s="4" t="inlineStr">
        <is>
          <t>2026-12-19</t>
        </is>
      </c>
      <c r="B170" s="5" t="inlineStr">
        <is>
          <t>Sat</t>
        </is>
      </c>
      <c r="C170" s="5" t="n">
        <v>13</v>
      </c>
      <c r="D170" s="5" t="inlineStr">
        <is>
          <t>travel</t>
        </is>
      </c>
      <c r="E170" s="18" t="inlineStr">
        <is>
          <t>hike</t>
        </is>
      </c>
      <c r="F170" s="7" t="inlineStr">
        <is>
          <t>Weekend aerobic — ride, hike, or stairs</t>
        </is>
      </c>
      <c r="G170" s="5" t="inlineStr">
        <is>
          <t>2–3 hr</t>
        </is>
      </c>
      <c r="H170" s="8" t="n"/>
      <c r="I170" s="9" t="n"/>
      <c r="J170" s="10" t="n"/>
      <c r="K170" s="11" t="n"/>
      <c r="L170" s="12" t="n"/>
      <c r="M170" s="10" t="n"/>
      <c r="N170" s="10" t="n"/>
      <c r="O170" s="13" t="n"/>
      <c r="P170" s="7" t="inlineStr">
        <is>
          <t>Winter options: spin bike endurance, a shorter hike, or 45 min on the stairmaster with 20 lb.</t>
        </is>
      </c>
    </row>
    <row r="171">
      <c r="A171" s="4" t="inlineStr">
        <is>
          <t>2026-12-19</t>
        </is>
      </c>
      <c r="B171" s="5" t="inlineStr">
        <is>
          <t>Sat</t>
        </is>
      </c>
      <c r="C171" s="5" t="n">
        <v>13</v>
      </c>
      <c r="D171" s="5" t="inlineStr">
        <is>
          <t>travel</t>
        </is>
      </c>
      <c r="E171" s="6" t="inlineStr">
        <is>
          <t>swim</t>
        </is>
      </c>
      <c r="F171" s="7" t="inlineStr">
        <is>
          <t>Technique swim (short)</t>
        </is>
      </c>
      <c r="G171" s="5" t="inlineStr">
        <is>
          <t>1,400 yd · 31–41 min</t>
        </is>
      </c>
      <c r="H171" s="8" t="n">
        <v>1400</v>
      </c>
      <c r="I171" s="9" t="n"/>
      <c r="J171" s="10" t="n"/>
      <c r="K171" s="11" t="n"/>
      <c r="L171" s="12" t="n"/>
      <c r="M171" s="10" t="n"/>
      <c r="N171" s="10" t="n"/>
      <c r="O171" s="13" t="n"/>
      <c r="P171" s="7" t="inlineStr">
        <is>
          <t>No clock, no main set. Snorkel and fins for the first half, then easy 50s holding the feel. This session exists to raise frequency and keep the stroke fresh — leave the pool fresher than you arrived.</t>
        </is>
      </c>
    </row>
    <row r="172">
      <c r="A172" s="4" t="inlineStr">
        <is>
          <t>2026-12-20</t>
        </is>
      </c>
      <c r="B172" s="5" t="inlineStr">
        <is>
          <t>Sun</t>
        </is>
      </c>
      <c r="C172" s="5" t="n">
        <v>13</v>
      </c>
      <c r="D172" s="5" t="inlineStr">
        <is>
          <t>travel</t>
        </is>
      </c>
      <c r="E172" s="15" t="inlineStr">
        <is>
          <t>run</t>
        </is>
      </c>
      <c r="F172" s="7" t="inlineStr">
        <is>
          <t>Long run — 8 km</t>
        </is>
      </c>
      <c r="G172" s="5" t="inlineStr">
        <is>
          <t>50–55 min</t>
        </is>
      </c>
      <c r="H172" s="8" t="n"/>
      <c r="I172" s="9" t="n">
        <v>8</v>
      </c>
      <c r="J172" s="10" t="n"/>
      <c r="K172" s="11" t="n"/>
      <c r="L172" s="12" t="n"/>
      <c r="M172" s="10" t="n"/>
      <c r="N172" s="10" t="n"/>
      <c r="O172" s="13" t="n"/>
      <c r="P172" s="7" t="inlineStr">
        <is>
          <t>Back to race distance, easy. The run base is worth keeping through the holidays rather than rebuilding in January.</t>
        </is>
      </c>
    </row>
    <row r="173">
      <c r="A173" s="4" t="inlineStr">
        <is>
          <t>2026-12-20</t>
        </is>
      </c>
      <c r="B173" s="5" t="inlineStr">
        <is>
          <t>Sun</t>
        </is>
      </c>
      <c r="C173" s="5" t="n">
        <v>13</v>
      </c>
      <c r="D173" s="5" t="inlineStr">
        <is>
          <t>travel</t>
        </is>
      </c>
      <c r="E173" s="16" t="inlineStr">
        <is>
          <t>recovery</t>
        </is>
      </c>
      <c r="F173" s="7" t="inlineStr">
        <is>
          <t>Mobility + lower-leg prehab</t>
        </is>
      </c>
      <c r="G173" s="5" t="inlineStr">
        <is>
          <t>20 min</t>
        </is>
      </c>
      <c r="H173" s="8" t="n"/>
      <c r="I173" s="9" t="n"/>
      <c r="J173" s="10" t="n"/>
      <c r="K173" s="11" t="n"/>
      <c r="L173" s="12" t="n"/>
      <c r="M173" s="10" t="n"/>
      <c r="N173" s="10" t="n"/>
      <c r="O173" s="13" t="n"/>
      <c r="P173" s="7" t="inlineStr">
        <is>
          <t>Mobility plus foot intrinsics. Pack for Edmonton.</t>
        </is>
      </c>
    </row>
    <row r="174">
      <c r="A174" s="4" t="inlineStr">
        <is>
          <t>2026-12-21</t>
        </is>
      </c>
      <c r="B174" s="5" t="inlineStr">
        <is>
          <t>Mon</t>
        </is>
      </c>
      <c r="C174" s="5" t="n">
        <v>14</v>
      </c>
      <c r="D174" s="5" t="inlineStr">
        <is>
          <t>winterbase</t>
        </is>
      </c>
      <c r="E174" s="6" t="inlineStr">
        <is>
          <t>swim</t>
        </is>
      </c>
      <c r="F174" s="7" t="inlineStr">
        <is>
          <t>Swim — threshold 4 × 300</t>
        </is>
      </c>
      <c r="G174" s="5" t="inlineStr">
        <is>
          <t>2,600 yd · 58–76 min</t>
        </is>
      </c>
      <c r="H174" s="8" t="n">
        <v>2600</v>
      </c>
      <c r="I174" s="9" t="n"/>
      <c r="J174" s="10" t="n"/>
      <c r="K174" s="11" t="n"/>
      <c r="L174" s="12" t="n"/>
      <c r="M174" s="10" t="n"/>
      <c r="N174" s="10" t="n"/>
      <c r="O174" s="13" t="n"/>
      <c r="P174" s="7" t="inlineStr">
        <is>
          <t>Warm-up 400. Drill 400. Main: 4 × 300 at CSS on 6:30 — tighter than Week 5's version of this set. Cool-down 300.</t>
        </is>
      </c>
    </row>
    <row r="175">
      <c r="A175" s="4" t="inlineStr">
        <is>
          <t>2026-12-21</t>
        </is>
      </c>
      <c r="B175" s="5" t="inlineStr">
        <is>
          <t>Mon</t>
        </is>
      </c>
      <c r="C175" s="5" t="n">
        <v>14</v>
      </c>
      <c r="D175" s="5" t="inlineStr">
        <is>
          <t>winterbase</t>
        </is>
      </c>
      <c r="E175" s="14" t="inlineStr">
        <is>
          <t>strength</t>
        </is>
      </c>
      <c r="F175" s="7" t="inlineStr">
        <is>
          <t>Strength A — RDL + posterior chain</t>
        </is>
      </c>
      <c r="G175" s="5" t="inlineStr">
        <is>
          <t>45–55 min</t>
        </is>
      </c>
      <c r="H175" s="8" t="n"/>
      <c r="I175" s="9" t="n"/>
      <c r="J175" s="10" t="n"/>
      <c r="K175" s="11" t="n"/>
      <c r="L175" s="12" t="n"/>
      <c r="M175" s="10" t="n"/>
      <c r="N175" s="10" t="n"/>
      <c r="O175" s="13" t="n"/>
      <c r="P175" s="7" t="inlineStr">
        <is>
          <t>Standard Strength A.</t>
        </is>
      </c>
    </row>
    <row r="176">
      <c r="A176" s="4" t="inlineStr">
        <is>
          <t>2026-12-22</t>
        </is>
      </c>
      <c r="B176" s="5" t="inlineStr">
        <is>
          <t>Tue</t>
        </is>
      </c>
      <c r="C176" s="5" t="n">
        <v>14</v>
      </c>
      <c r="D176" s="5" t="inlineStr">
        <is>
          <t>winterbase</t>
        </is>
      </c>
      <c r="E176" s="15" t="inlineStr">
        <is>
          <t>run</t>
        </is>
      </c>
      <c r="F176" s="7" t="inlineStr">
        <is>
          <t>Easy run — 5 km</t>
        </is>
      </c>
      <c r="G176" s="5" t="inlineStr">
        <is>
          <t>35 min</t>
        </is>
      </c>
      <c r="H176" s="8" t="n"/>
      <c r="I176" s="9" t="n">
        <v>5</v>
      </c>
      <c r="J176" s="10" t="n"/>
      <c r="K176" s="11" t="n"/>
      <c r="L176" s="12" t="n"/>
      <c r="M176" s="10" t="n"/>
      <c r="N176" s="10" t="n"/>
      <c r="O176" s="13" t="n"/>
      <c r="P176" s="7" t="inlineStr">
        <is>
          <t>Last Seattle run of the year. Soft surface.</t>
        </is>
      </c>
    </row>
    <row r="177">
      <c r="A177" s="4" t="inlineStr">
        <is>
          <t>2026-12-22</t>
        </is>
      </c>
      <c r="B177" s="5" t="inlineStr">
        <is>
          <t>Tue</t>
        </is>
      </c>
      <c r="C177" s="5" t="n">
        <v>14</v>
      </c>
      <c r="D177" s="5" t="inlineStr">
        <is>
          <t>winterbase</t>
        </is>
      </c>
      <c r="E177" s="6" t="inlineStr">
        <is>
          <t>swim</t>
        </is>
      </c>
      <c r="F177" s="7" t="inlineStr">
        <is>
          <t>Technique swim (short)</t>
        </is>
      </c>
      <c r="G177" s="5" t="inlineStr">
        <is>
          <t>1,400 yd · 31–41 min</t>
        </is>
      </c>
      <c r="H177" s="8" t="n">
        <v>1400</v>
      </c>
      <c r="I177" s="9" t="n"/>
      <c r="J177" s="10" t="n"/>
      <c r="K177" s="11" t="n"/>
      <c r="L177" s="12" t="n"/>
      <c r="M177" s="10" t="n"/>
      <c r="N177" s="10" t="n"/>
      <c r="O177" s="13" t="n"/>
      <c r="P177" s="7" t="inlineStr">
        <is>
          <t>No clock, no main set. Snorkel and fins for the first half, then easy 50s holding the feel. This session exists to raise frequency and keep the stroke fresh — leave the pool fresher than you arrived.</t>
        </is>
      </c>
    </row>
    <row r="178">
      <c r="A178" s="4" t="inlineStr">
        <is>
          <t>2026-12-23</t>
        </is>
      </c>
      <c r="B178" s="5" t="inlineStr">
        <is>
          <t>Wed</t>
        </is>
      </c>
      <c r="C178" s="5" t="n">
        <v>14</v>
      </c>
      <c r="D178" s="5" t="inlineStr">
        <is>
          <t>winterbase</t>
        </is>
      </c>
      <c r="E178" s="15" t="inlineStr">
        <is>
          <t>run</t>
        </is>
      </c>
      <c r="F178" s="7" t="inlineStr">
        <is>
          <t>Easy run — 4 km</t>
        </is>
      </c>
      <c r="G178" s="5" t="inlineStr">
        <is>
          <t>30 min</t>
        </is>
      </c>
      <c r="H178" s="8" t="n"/>
      <c r="I178" s="9" t="n">
        <v>4</v>
      </c>
      <c r="J178" s="10" t="n"/>
      <c r="K178" s="11" t="n"/>
      <c r="L178" s="12" t="n"/>
      <c r="M178" s="10" t="n"/>
      <c r="N178" s="10" t="n"/>
      <c r="O178" s="13" t="n"/>
      <c r="P178" s="7" t="inlineStr">
        <is>
          <t>Travel day to Edmonton. Indoor track or treadmill given the conditions. CHECK THE GYM'S HOLIDAY HOURS TODAY and shuffle this week's swims to fit them.</t>
        </is>
      </c>
    </row>
    <row r="179">
      <c r="A179" s="4" t="inlineStr">
        <is>
          <t>2026-12-23</t>
        </is>
      </c>
      <c r="B179" s="5" t="inlineStr">
        <is>
          <t>Wed</t>
        </is>
      </c>
      <c r="C179" s="5" t="n">
        <v>14</v>
      </c>
      <c r="D179" s="5" t="inlineStr">
        <is>
          <t>winterbase</t>
        </is>
      </c>
      <c r="E179" s="16" t="inlineStr">
        <is>
          <t>recovery</t>
        </is>
      </c>
      <c r="F179" s="7" t="inlineStr">
        <is>
          <t>Mobility + lower-leg prehab</t>
        </is>
      </c>
      <c r="G179" s="5" t="inlineStr">
        <is>
          <t>15 min</t>
        </is>
      </c>
      <c r="H179" s="8" t="n"/>
      <c r="I179" s="9" t="n"/>
      <c r="J179" s="10" t="n"/>
      <c r="K179" s="11" t="n"/>
      <c r="L179" s="12" t="n"/>
      <c r="M179" s="10" t="n"/>
      <c r="N179" s="10" t="n"/>
      <c r="O179" s="13" t="n"/>
      <c r="P179" s="7" t="inlineStr">
        <is>
          <t>Travel mobility.</t>
        </is>
      </c>
    </row>
    <row r="180">
      <c r="A180" s="4" t="inlineStr">
        <is>
          <t>2026-12-24</t>
        </is>
      </c>
      <c r="B180" s="5" t="inlineStr">
        <is>
          <t>Thu</t>
        </is>
      </c>
      <c r="C180" s="5" t="n">
        <v>14</v>
      </c>
      <c r="D180" s="5" t="inlineStr">
        <is>
          <t>winterbase</t>
        </is>
      </c>
      <c r="E180" s="6" t="inlineStr">
        <is>
          <t>swim</t>
        </is>
      </c>
      <c r="F180" s="7" t="inlineStr">
        <is>
          <t>Swim — speed</t>
        </is>
      </c>
      <c r="G180" s="5" t="inlineStr">
        <is>
          <t>2,400 yd · 53–71 min</t>
        </is>
      </c>
      <c r="H180" s="8" t="n">
        <v>2400</v>
      </c>
      <c r="I180" s="9" t="n"/>
      <c r="J180" s="10" t="n"/>
      <c r="K180" s="11" t="n"/>
      <c r="L180" s="12" t="n"/>
      <c r="M180" s="10" t="n"/>
      <c r="N180" s="10" t="n"/>
      <c r="O180" s="13" t="n"/>
      <c r="P180" s="7" t="inlineStr">
        <is>
          <t>Warm-up 300. Drill 400. Main: 24 × 50 on 1:05 alternating. 4 × 50 breaststroke. Cool-down 300. Christmas Eve — likely reduced pool hours, so go early.</t>
        </is>
      </c>
    </row>
    <row r="181">
      <c r="A181" s="4" t="inlineStr">
        <is>
          <t>2026-12-24</t>
        </is>
      </c>
      <c r="B181" s="5" t="inlineStr">
        <is>
          <t>Thu</t>
        </is>
      </c>
      <c r="C181" s="5" t="n">
        <v>14</v>
      </c>
      <c r="D181" s="5" t="inlineStr">
        <is>
          <t>winterbase</t>
        </is>
      </c>
      <c r="E181" s="16" t="inlineStr">
        <is>
          <t>recovery</t>
        </is>
      </c>
      <c r="F181" s="7" t="inlineStr">
        <is>
          <t>Mobility + lower-leg prehab</t>
        </is>
      </c>
      <c r="G181" s="5" t="inlineStr">
        <is>
          <t>15 min</t>
        </is>
      </c>
      <c r="H181" s="8" t="n"/>
      <c r="I181" s="9" t="n"/>
      <c r="J181" s="10" t="n"/>
      <c r="K181" s="11" t="n"/>
      <c r="L181" s="12" t="n"/>
      <c r="M181" s="10" t="n"/>
      <c r="N181" s="10" t="n"/>
      <c r="O181" s="13" t="n"/>
      <c r="P181" s="7" t="inlineStr">
        <is>
          <t>Ankle dorsiflexion (knee-to-wall), calf and soleus stretch, hip flexors, thoracic rotation, and 3 × 20 tibialis raises. Ten minutes of this beats an hour once a month.</t>
        </is>
      </c>
    </row>
    <row r="182">
      <c r="A182" s="4" t="inlineStr">
        <is>
          <t>2026-12-25</t>
        </is>
      </c>
      <c r="B182" s="5" t="inlineStr">
        <is>
          <t>Fri</t>
        </is>
      </c>
      <c r="C182" s="5" t="n">
        <v>14</v>
      </c>
      <c r="D182" s="5" t="inlineStr">
        <is>
          <t>winterbase</t>
        </is>
      </c>
      <c r="E182" s="16" t="inlineStr">
        <is>
          <t>recovery</t>
        </is>
      </c>
      <c r="F182" s="7" t="inlineStr">
        <is>
          <t>Rest day — walk and stretch</t>
        </is>
      </c>
      <c r="G182" s="5" t="inlineStr">
        <is>
          <t>20–30 min</t>
        </is>
      </c>
      <c r="H182" s="8" t="n"/>
      <c r="I182" s="9" t="n"/>
      <c r="J182" s="10" t="n"/>
      <c r="K182" s="11" t="n"/>
      <c r="L182" s="12" t="n"/>
      <c r="M182" s="10" t="n"/>
      <c r="N182" s="10" t="n"/>
      <c r="O182" s="13" t="n"/>
      <c r="P182" s="7" t="inlineStr">
        <is>
          <t>Christmas Day. Rest, stretch, walk if you feel like it. Nothing structured — this is the one fully off day in the block and taking it properly is part of the plan.</t>
        </is>
      </c>
    </row>
    <row r="183">
      <c r="A183" s="4" t="inlineStr">
        <is>
          <t>2026-12-26</t>
        </is>
      </c>
      <c r="B183" s="5" t="inlineStr">
        <is>
          <t>Sat</t>
        </is>
      </c>
      <c r="C183" s="5" t="n">
        <v>14</v>
      </c>
      <c r="D183" s="5" t="inlineStr">
        <is>
          <t>winterbase</t>
        </is>
      </c>
      <c r="E183" s="6" t="inlineStr">
        <is>
          <t>swim</t>
        </is>
      </c>
      <c r="F183" s="7" t="inlineStr">
        <is>
          <t>Swim — long aerobic 1,800</t>
        </is>
      </c>
      <c r="G183" s="5" t="inlineStr">
        <is>
          <t>2,600 yd · 58–76 min</t>
        </is>
      </c>
      <c r="H183" s="8" t="n">
        <v>2600</v>
      </c>
      <c r="I183" s="9" t="n"/>
      <c r="J183" s="10" t="n"/>
      <c r="K183" s="11" t="n"/>
      <c r="L183" s="12" t="n"/>
      <c r="M183" s="10" t="n"/>
      <c r="N183" s="10" t="n"/>
      <c r="O183" s="13" t="n"/>
      <c r="P183" s="7" t="inlineStr">
        <is>
          <t>Warm-up 300. Main: 1,800 continuous, then 4 × 100 at CSS. Cool-down 300.</t>
        </is>
      </c>
    </row>
    <row r="184">
      <c r="A184" s="4" t="inlineStr">
        <is>
          <t>2026-12-26</t>
        </is>
      </c>
      <c r="B184" s="5" t="inlineStr">
        <is>
          <t>Sat</t>
        </is>
      </c>
      <c r="C184" s="5" t="n">
        <v>14</v>
      </c>
      <c r="D184" s="5" t="inlineStr">
        <is>
          <t>winterbase</t>
        </is>
      </c>
      <c r="E184" s="14" t="inlineStr">
        <is>
          <t>strength</t>
        </is>
      </c>
      <c r="F184" s="7" t="inlineStr">
        <is>
          <t>Strength B — Bulgarian split squat + hips and core</t>
        </is>
      </c>
      <c r="G184" s="5" t="inlineStr">
        <is>
          <t>45–55 min</t>
        </is>
      </c>
      <c r="H184" s="8" t="n"/>
      <c r="I184" s="9" t="n"/>
      <c r="J184" s="10" t="n"/>
      <c r="K184" s="11" t="n"/>
      <c r="L184" s="12" t="n"/>
      <c r="M184" s="10" t="n"/>
      <c r="N184" s="10" t="n"/>
      <c r="O184" s="13" t="n"/>
      <c r="P184" s="7" t="inlineStr">
        <is>
          <t>Standard Strength B.</t>
        </is>
      </c>
    </row>
    <row r="185">
      <c r="A185" s="4" t="inlineStr">
        <is>
          <t>2026-12-27</t>
        </is>
      </c>
      <c r="B185" s="5" t="inlineStr">
        <is>
          <t>Sun</t>
        </is>
      </c>
      <c r="C185" s="5" t="n">
        <v>14</v>
      </c>
      <c r="D185" s="5" t="inlineStr">
        <is>
          <t>winterbase</t>
        </is>
      </c>
      <c r="E185" s="15" t="inlineStr">
        <is>
          <t>run</t>
        </is>
      </c>
      <c r="F185" s="7" t="inlineStr">
        <is>
          <t>Long run — 8 km</t>
        </is>
      </c>
      <c r="G185" s="5" t="inlineStr">
        <is>
          <t>50–55 min</t>
        </is>
      </c>
      <c r="H185" s="8" t="n"/>
      <c r="I185" s="9" t="n">
        <v>8</v>
      </c>
      <c r="J185" s="10" t="n"/>
      <c r="K185" s="11" t="n"/>
      <c r="L185" s="12" t="n"/>
      <c r="M185" s="10" t="n"/>
      <c r="N185" s="10" t="n"/>
      <c r="O185" s="13" t="n"/>
      <c r="P185" s="7" t="inlineStr">
        <is>
          <t>Indoor track if the footing is bad, outside if it is clear and you are dressed for it.</t>
        </is>
      </c>
    </row>
    <row r="186">
      <c r="A186" s="4" t="inlineStr">
        <is>
          <t>2026-12-27</t>
        </is>
      </c>
      <c r="B186" s="5" t="inlineStr">
        <is>
          <t>Sun</t>
        </is>
      </c>
      <c r="C186" s="5" t="n">
        <v>14</v>
      </c>
      <c r="D186" s="5" t="inlineStr">
        <is>
          <t>winterbase</t>
        </is>
      </c>
      <c r="E186" s="16" t="inlineStr">
        <is>
          <t>recovery</t>
        </is>
      </c>
      <c r="F186" s="7" t="inlineStr">
        <is>
          <t>Mobility + lower-leg prehab</t>
        </is>
      </c>
      <c r="G186" s="5" t="inlineStr">
        <is>
          <t>20 min</t>
        </is>
      </c>
      <c r="H186" s="8" t="n"/>
      <c r="I186" s="9" t="n"/>
      <c r="J186" s="10" t="n"/>
      <c r="K186" s="11" t="n"/>
      <c r="L186" s="12" t="n"/>
      <c r="M186" s="10" t="n"/>
      <c r="N186" s="10" t="n"/>
      <c r="O186" s="13" t="n"/>
      <c r="P186" s="7" t="inlineStr">
        <is>
          <t>Mobility plus foot intrinsics.</t>
        </is>
      </c>
    </row>
    <row r="187">
      <c r="A187" s="4" t="inlineStr">
        <is>
          <t>2026-12-28</t>
        </is>
      </c>
      <c r="B187" s="5" t="inlineStr">
        <is>
          <t>Mon</t>
        </is>
      </c>
      <c r="C187" s="5" t="n">
        <v>15</v>
      </c>
      <c r="D187" s="5" t="inlineStr">
        <is>
          <t>winterbase</t>
        </is>
      </c>
      <c r="E187" s="6" t="inlineStr">
        <is>
          <t>swim</t>
        </is>
      </c>
      <c r="F187" s="7" t="inlineStr">
        <is>
          <t>Swim — FINAL CSS TEST (400 + 200 TT)</t>
        </is>
      </c>
      <c r="G187" s="5" t="inlineStr">
        <is>
          <t>2,400 yd · 53–71 min</t>
        </is>
      </c>
      <c r="H187" s="8" t="n">
        <v>2400</v>
      </c>
      <c r="I187" s="9" t="n"/>
      <c r="J187" s="10" t="n"/>
      <c r="K187" s="11" t="n"/>
      <c r="L187" s="12" t="n"/>
      <c r="M187" s="10" t="n"/>
      <c r="N187" s="10" t="n"/>
      <c r="O187" s="13" t="n"/>
      <c r="P187" s="7" t="inlineStr">
        <is>
          <t>Same protocol as Weeks 1 and 8. Warm-up 400, build 4 × 50, 400 all-out, 5 min rest, 200 all-out, cool-down 400. This is the block's headline number. Compare all three tests side by side — Week 1, Week 8, and today.</t>
        </is>
      </c>
    </row>
    <row r="188">
      <c r="A188" s="4" t="inlineStr">
        <is>
          <t>2026-12-28</t>
        </is>
      </c>
      <c r="B188" s="5" t="inlineStr">
        <is>
          <t>Mon</t>
        </is>
      </c>
      <c r="C188" s="5" t="n">
        <v>15</v>
      </c>
      <c r="D188" s="5" t="inlineStr">
        <is>
          <t>winterbase</t>
        </is>
      </c>
      <c r="E188" s="14" t="inlineStr">
        <is>
          <t>strength</t>
        </is>
      </c>
      <c r="F188" s="7" t="inlineStr">
        <is>
          <t>Strength A — RDL + posterior chain</t>
        </is>
      </c>
      <c r="G188" s="5" t="inlineStr">
        <is>
          <t>45–55 min</t>
        </is>
      </c>
      <c r="H188" s="8" t="n"/>
      <c r="I188" s="9" t="n"/>
      <c r="J188" s="10" t="n"/>
      <c r="K188" s="11" t="n"/>
      <c r="L188" s="12" t="n"/>
      <c r="M188" s="10" t="n"/>
      <c r="N188" s="10" t="n"/>
      <c r="O188" s="13" t="n"/>
      <c r="P188" s="7" t="inlineStr">
        <is>
          <t>Last Strength A of the year. Log the RDL and split squat loads next to the Week 1 numbers.</t>
        </is>
      </c>
    </row>
    <row r="189">
      <c r="A189" s="4" t="inlineStr">
        <is>
          <t>2026-12-29</t>
        </is>
      </c>
      <c r="B189" s="5" t="inlineStr">
        <is>
          <t>Tue</t>
        </is>
      </c>
      <c r="C189" s="5" t="n">
        <v>15</v>
      </c>
      <c r="D189" s="5" t="inlineStr">
        <is>
          <t>winterbase</t>
        </is>
      </c>
      <c r="E189" s="15" t="inlineStr">
        <is>
          <t>run</t>
        </is>
      </c>
      <c r="F189" s="7" t="inlineStr">
        <is>
          <t>Easy run — 5 km</t>
        </is>
      </c>
      <c r="G189" s="5" t="inlineStr">
        <is>
          <t>35–40 min</t>
        </is>
      </c>
      <c r="H189" s="8" t="n"/>
      <c r="I189" s="9" t="n">
        <v>5</v>
      </c>
      <c r="J189" s="10" t="n"/>
      <c r="K189" s="11" t="n"/>
      <c r="L189" s="12" t="n"/>
      <c r="M189" s="10" t="n"/>
      <c r="N189" s="10" t="n"/>
      <c r="O189" s="13" t="n"/>
      <c r="P189" s="7" t="inlineStr">
        <is>
          <t>Easy. Indoor track if needed.</t>
        </is>
      </c>
    </row>
    <row r="190">
      <c r="A190" s="4" t="inlineStr">
        <is>
          <t>2026-12-29</t>
        </is>
      </c>
      <c r="B190" s="5" t="inlineStr">
        <is>
          <t>Tue</t>
        </is>
      </c>
      <c r="C190" s="5" t="n">
        <v>15</v>
      </c>
      <c r="D190" s="5" t="inlineStr">
        <is>
          <t>winterbase</t>
        </is>
      </c>
      <c r="E190" s="6" t="inlineStr">
        <is>
          <t>swim</t>
        </is>
      </c>
      <c r="F190" s="7" t="inlineStr">
        <is>
          <t>Technique swim (short)</t>
        </is>
      </c>
      <c r="G190" s="5" t="inlineStr">
        <is>
          <t>1,400 yd · 31–41 min</t>
        </is>
      </c>
      <c r="H190" s="8" t="n">
        <v>1400</v>
      </c>
      <c r="I190" s="9" t="n"/>
      <c r="J190" s="10" t="n"/>
      <c r="K190" s="11" t="n"/>
      <c r="L190" s="12" t="n"/>
      <c r="M190" s="10" t="n"/>
      <c r="N190" s="10" t="n"/>
      <c r="O190" s="13" t="n"/>
      <c r="P190" s="7" t="inlineStr">
        <is>
          <t>No clock, no main set. Snorkel and fins for the first half, then easy 50s holding the feel. This session exists to raise frequency and keep the stroke fresh — leave the pool fresher than you arrived.</t>
        </is>
      </c>
    </row>
    <row r="191">
      <c r="A191" s="4" t="inlineStr">
        <is>
          <t>2026-12-30</t>
        </is>
      </c>
      <c r="B191" s="5" t="inlineStr">
        <is>
          <t>Wed</t>
        </is>
      </c>
      <c r="C191" s="5" t="n">
        <v>15</v>
      </c>
      <c r="D191" s="5" t="inlineStr">
        <is>
          <t>winterbase</t>
        </is>
      </c>
      <c r="E191" s="6" t="inlineStr">
        <is>
          <t>swim</t>
        </is>
      </c>
      <c r="F191" s="7" t="inlineStr">
        <is>
          <t>Swim — speed</t>
        </is>
      </c>
      <c r="G191" s="5" t="inlineStr">
        <is>
          <t>2,200 yd · 49–65 min</t>
        </is>
      </c>
      <c r="H191" s="8" t="n">
        <v>2200</v>
      </c>
      <c r="I191" s="9" t="n"/>
      <c r="J191" s="10" t="n"/>
      <c r="K191" s="11" t="n"/>
      <c r="L191" s="12" t="n"/>
      <c r="M191" s="10" t="n"/>
      <c r="N191" s="10" t="n"/>
      <c r="O191" s="13" t="n"/>
      <c r="P191" s="7" t="inlineStr">
        <is>
          <t>Warm-up 300. Drill 400. Main: 20 × 50 on 1:05 alternating. Then 200 breaststroke continuous. Cool-down 300.</t>
        </is>
      </c>
    </row>
    <row r="192">
      <c r="A192" s="4" t="inlineStr">
        <is>
          <t>2026-12-30</t>
        </is>
      </c>
      <c r="B192" s="5" t="inlineStr">
        <is>
          <t>Wed</t>
        </is>
      </c>
      <c r="C192" s="5" t="n">
        <v>15</v>
      </c>
      <c r="D192" s="5" t="inlineStr">
        <is>
          <t>winterbase</t>
        </is>
      </c>
      <c r="E192" s="17" t="inlineStr">
        <is>
          <t>bike</t>
        </is>
      </c>
      <c r="F192" s="7" t="inlineStr">
        <is>
          <t>Spin bike — easy aerobic (optional)</t>
        </is>
      </c>
      <c r="G192" s="5" t="inlineStr">
        <is>
          <t>40 min</t>
        </is>
      </c>
      <c r="H192" s="8" t="n"/>
      <c r="I192" s="9" t="n"/>
      <c r="J192" s="10" t="n"/>
      <c r="K192" s="11" t="n"/>
      <c r="L192" s="12" t="n"/>
      <c r="M192" s="10" t="n"/>
      <c r="N192" s="10" t="n"/>
      <c r="O192" s="13" t="n"/>
      <c r="P192" s="7" t="inlineStr">
        <is>
          <t>Optional. Skip it without guilt if the legs feel the long run coming tomorrow.</t>
        </is>
      </c>
    </row>
    <row r="193">
      <c r="A193" s="4" t="inlineStr">
        <is>
          <t>2026-12-31</t>
        </is>
      </c>
      <c r="B193" s="5" t="inlineStr">
        <is>
          <t>Thu</t>
        </is>
      </c>
      <c r="C193" s="5" t="n">
        <v>15</v>
      </c>
      <c r="D193" s="5" t="inlineStr">
        <is>
          <t>winterbase</t>
        </is>
      </c>
      <c r="E193" s="15" t="inlineStr">
        <is>
          <t>run</t>
        </is>
      </c>
      <c r="F193" s="7" t="inlineStr">
        <is>
          <t>Long run — 8 km</t>
        </is>
      </c>
      <c r="G193" s="5" t="inlineStr">
        <is>
          <t>55–62 min</t>
        </is>
      </c>
      <c r="H193" s="8" t="n"/>
      <c r="I193" s="9" t="n">
        <v>8</v>
      </c>
      <c r="J193" s="10" t="n"/>
      <c r="K193" s="11" t="n"/>
      <c r="L193" s="12" t="n"/>
      <c r="M193" s="10" t="n"/>
      <c r="N193" s="10" t="n"/>
      <c r="O193" s="13" t="n"/>
      <c r="P193" s="7" t="inlineStr">
        <is>
          <t>Last run of the block, and the last run of the year. Easy effort, soft surface, orthotics in. Fifteen weeks ago 5 km was your entire week.</t>
        </is>
      </c>
    </row>
    <row r="194">
      <c r="A194" s="4" t="inlineStr">
        <is>
          <t>2026-12-31</t>
        </is>
      </c>
      <c r="B194" s="5" t="inlineStr">
        <is>
          <t>Thu</t>
        </is>
      </c>
      <c r="C194" s="5" t="n">
        <v>15</v>
      </c>
      <c r="D194" s="5" t="inlineStr">
        <is>
          <t>winterbase</t>
        </is>
      </c>
      <c r="E194" s="6" t="inlineStr">
        <is>
          <t>swim</t>
        </is>
      </c>
      <c r="F194" s="7" t="inlineStr">
        <is>
          <t>Swim — long aerobic 2,000</t>
        </is>
      </c>
      <c r="G194" s="5" t="inlineStr">
        <is>
          <t>2,600 yd · 58–76 min</t>
        </is>
      </c>
      <c r="H194" s="8" t="n">
        <v>2600</v>
      </c>
      <c r="I194" s="9" t="n"/>
      <c r="J194" s="10" t="n"/>
      <c r="K194" s="11" t="n"/>
      <c r="L194" s="12" t="n"/>
      <c r="M194" s="10" t="n"/>
      <c r="N194" s="10" t="n"/>
      <c r="O194" s="13" t="n"/>
      <c r="P194" s="7" t="inlineStr">
        <is>
          <t>Warm-up 300. Main: 2,000 continuous at the new aerobic pace. Cool-down 300. Fifteen weeks ago a 1,000 was the long swim. Finish the year with double it.</t>
        </is>
      </c>
    </row>
    <row r="195">
      <c r="A195" s="4" t="inlineStr">
        <is>
          <t>2026-12-31</t>
        </is>
      </c>
      <c r="B195" s="5" t="inlineStr">
        <is>
          <t>Thu</t>
        </is>
      </c>
      <c r="C195" s="5" t="n">
        <v>15</v>
      </c>
      <c r="D195" s="5" t="inlineStr">
        <is>
          <t>winterbase</t>
        </is>
      </c>
      <c r="E195" s="16" t="inlineStr">
        <is>
          <t>recovery</t>
        </is>
      </c>
      <c r="F195" s="7" t="inlineStr">
        <is>
          <t>Mobility + lower-leg prehab</t>
        </is>
      </c>
      <c r="G195" s="5" t="inlineStr">
        <is>
          <t>25 min</t>
        </is>
      </c>
      <c r="H195" s="8" t="n"/>
      <c r="I195" s="9" t="n"/>
      <c r="J195" s="10" t="n"/>
      <c r="K195" s="11" t="n"/>
      <c r="L195" s="12" t="n"/>
      <c r="M195" s="10" t="n"/>
      <c r="N195" s="10" t="n"/>
      <c r="O195" s="13" t="n"/>
      <c r="P195" s="7" t="inlineStr">
        <is>
          <t>Final mobility session of the block. Then sit down and plan the January Victoria 70.3 build — including whether Rainier and Victoria can actually coexist.</t>
        </is>
      </c>
    </row>
  </sheetData>
  <autoFilter ref="A4:P195"/>
  <mergeCells count="2">
    <mergeCell ref="A1:P1"/>
    <mergeCell ref="A2:P2"/>
  </mergeCells>
  <conditionalFormatting sqref="A5:P195">
    <cfRule type="expression" priority="1" dxfId="0">
      <formula>$J5="Y"</formula>
    </cfRule>
  </conditionalFormatting>
  <dataValidations count="2">
    <dataValidation sqref="J5:J195" showDropDown="0" showInputMessage="0" showErrorMessage="0" allowBlank="1" type="list">
      <formula1>"Y,N,skipped,moved"</formula1>
    </dataValidation>
    <dataValidation sqref="N5:N195" showDropDown="0" showInputMessage="0" showErrorMessage="0" allowBlank="1"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6" customWidth="1" min="3" max="3"/>
    <col width="13" customWidth="1" min="4" max="4"/>
    <col width="12" customWidth="1" min="5" max="5"/>
    <col width="9" customWidth="1" min="6" max="6"/>
    <col width="11" customWidth="1" min="7" max="7"/>
    <col width="13" customWidth="1" min="8" max="8"/>
    <col width="12" customWidth="1" min="9" max="9"/>
    <col width="9" customWidth="1" min="10" max="10"/>
    <col width="10" customWidth="1" min="11" max="11"/>
    <col width="8" customWidth="1" min="12" max="12"/>
    <col width="9" customWidth="1" min="13" max="13"/>
  </cols>
  <sheetData>
    <row r="1">
      <c r="A1" s="1" t="inlineStr">
        <is>
          <t>Weekly rollup</t>
        </is>
      </c>
    </row>
    <row r="2">
      <c r="A2" s="2" t="inlineStr">
        <is>
          <t>Every number here is a live formula over the Log sheet. Nothing to type.</t>
        </is>
      </c>
    </row>
    <row r="4" ht="30" customHeight="1">
      <c r="A4" s="3" t="inlineStr">
        <is>
          <t>Wk</t>
        </is>
      </c>
      <c r="B4" s="3" t="inlineStr">
        <is>
          <t>Starts</t>
        </is>
      </c>
      <c r="C4" s="3" t="inlineStr">
        <is>
          <t>Theme</t>
        </is>
      </c>
      <c r="D4" s="3" t="inlineStr">
        <is>
          <t>Swim plan (yd)</t>
        </is>
      </c>
      <c r="E4" s="3" t="inlineStr">
        <is>
          <t>Swim actual</t>
        </is>
      </c>
      <c r="F4" s="3" t="inlineStr">
        <is>
          <t>Swim Δ</t>
        </is>
      </c>
      <c r="G4" s="3" t="inlineStr">
        <is>
          <t>6,000 floor</t>
        </is>
      </c>
      <c r="H4" s="3" t="inlineStr">
        <is>
          <t>Run plan (km)</t>
        </is>
      </c>
      <c r="I4" s="3" t="inlineStr">
        <is>
          <t>Run actual</t>
        </is>
      </c>
      <c r="J4" s="3" t="inlineStr">
        <is>
          <t>Run Δ</t>
        </is>
      </c>
      <c r="K4" s="3" t="inlineStr">
        <is>
          <t>Sessions</t>
        </is>
      </c>
      <c r="L4" s="3" t="inlineStr">
        <is>
          <t>Done</t>
        </is>
      </c>
      <c r="M4" s="3" t="inlineStr">
        <is>
          <t>% done</t>
        </is>
      </c>
    </row>
    <row r="5">
      <c r="A5" s="5" t="n">
        <v>1</v>
      </c>
      <c r="B5" s="5" t="inlineStr">
        <is>
          <t>2026-09-21</t>
        </is>
      </c>
      <c r="C5" s="7" t="inlineStr">
        <is>
          <t>Measure everything</t>
        </is>
      </c>
      <c r="D5" s="19">
        <f>SUMIFS(Log!$H$5:$H$400,Log!$C$5:$C$400,$A5)</f>
        <v/>
      </c>
      <c r="E5" s="19">
        <f>SUMIFS(Log!$K$5:$K$400,Log!$C$5:$C$400,$A5)</f>
        <v/>
      </c>
      <c r="F5" s="20">
        <f>IF(E5=0,"",E5-D5)</f>
        <v/>
      </c>
      <c r="G5" s="5">
        <f>IF(E5=0,"–",IF(E5&gt;=6000,"OK","UNDER"))</f>
        <v/>
      </c>
      <c r="H5" s="21">
        <f>SUMIFS(Log!$I$5:$I$400,Log!$C$5:$C$400,$A5)</f>
        <v/>
      </c>
      <c r="I5" s="21">
        <f>SUMIFS(Log!$L$5:$L$400,Log!$C$5:$C$400,$A5)</f>
        <v/>
      </c>
      <c r="J5" s="22">
        <f>IF(I5=0,"",I5-H5)</f>
        <v/>
      </c>
      <c r="K5" s="23">
        <f>COUNTIFS(Log!$C$5:$C$400,$A5)</f>
        <v/>
      </c>
      <c r="L5" s="23">
        <f>COUNTIFS(Log!$C$5:$C$400,$A5,Log!$J$5:$J$400,"Y")</f>
        <v/>
      </c>
      <c r="M5" s="24">
        <f>IFERROR(L5/K5,0)</f>
        <v/>
      </c>
    </row>
    <row r="6">
      <c r="A6" s="5" t="n">
        <v>2</v>
      </c>
      <c r="B6" s="5" t="inlineStr">
        <is>
          <t>2026-09-28</t>
        </is>
      </c>
      <c r="C6" s="7" t="inlineStr">
        <is>
          <t>Learn the send-off</t>
        </is>
      </c>
      <c r="D6" s="19">
        <f>SUMIFS(Log!$H$5:$H$400,Log!$C$5:$C$400,$A6)</f>
        <v/>
      </c>
      <c r="E6" s="19">
        <f>SUMIFS(Log!$K$5:$K$400,Log!$C$5:$C$400,$A6)</f>
        <v/>
      </c>
      <c r="F6" s="20">
        <f>IF(E6=0,"",E6-D6)</f>
        <v/>
      </c>
      <c r="G6" s="5">
        <f>IF(E6=0,"–",IF(E6&gt;=6000,"OK","UNDER"))</f>
        <v/>
      </c>
      <c r="H6" s="21">
        <f>SUMIFS(Log!$I$5:$I$400,Log!$C$5:$C$400,$A6)</f>
        <v/>
      </c>
      <c r="I6" s="21">
        <f>SUMIFS(Log!$L$5:$L$400,Log!$C$5:$C$400,$A6)</f>
        <v/>
      </c>
      <c r="J6" s="22">
        <f>IF(I6=0,"",I6-H6)</f>
        <v/>
      </c>
      <c r="K6" s="23">
        <f>COUNTIFS(Log!$C$5:$C$400,$A6)</f>
        <v/>
      </c>
      <c r="L6" s="23">
        <f>COUNTIFS(Log!$C$5:$C$400,$A6,Log!$J$5:$J$400,"Y")</f>
        <v/>
      </c>
      <c r="M6" s="24">
        <f>IFERROR(L6/K6,0)</f>
        <v/>
      </c>
    </row>
    <row r="7">
      <c r="A7" s="5" t="n">
        <v>3</v>
      </c>
      <c r="B7" s="5" t="inlineStr">
        <is>
          <t>2026-10-05</t>
        </is>
      </c>
      <c r="C7" s="7" t="inlineStr">
        <is>
          <t>Second run — if the orthotics are in</t>
        </is>
      </c>
      <c r="D7" s="19">
        <f>SUMIFS(Log!$H$5:$H$400,Log!$C$5:$C$400,$A7)</f>
        <v/>
      </c>
      <c r="E7" s="19">
        <f>SUMIFS(Log!$K$5:$K$400,Log!$C$5:$C$400,$A7)</f>
        <v/>
      </c>
      <c r="F7" s="20">
        <f>IF(E7=0,"",E7-D7)</f>
        <v/>
      </c>
      <c r="G7" s="5">
        <f>IF(E7=0,"–",IF(E7&gt;=6000,"OK","UNDER"))</f>
        <v/>
      </c>
      <c r="H7" s="21">
        <f>SUMIFS(Log!$I$5:$I$400,Log!$C$5:$C$400,$A7)</f>
        <v/>
      </c>
      <c r="I7" s="21">
        <f>SUMIFS(Log!$L$5:$L$400,Log!$C$5:$C$400,$A7)</f>
        <v/>
      </c>
      <c r="J7" s="22">
        <f>IF(I7=0,"",I7-H7)</f>
        <v/>
      </c>
      <c r="K7" s="23">
        <f>COUNTIFS(Log!$C$5:$C$400,$A7)</f>
        <v/>
      </c>
      <c r="L7" s="23">
        <f>COUNTIFS(Log!$C$5:$C$400,$A7,Log!$J$5:$J$400,"Y")</f>
        <v/>
      </c>
      <c r="M7" s="24">
        <f>IFERROR(L7/K7,0)</f>
        <v/>
      </c>
    </row>
    <row r="8">
      <c r="A8" s="5" t="n">
        <v>4</v>
      </c>
      <c r="B8" s="5" t="inlineStr">
        <is>
          <t>2026-10-12</t>
        </is>
      </c>
      <c r="C8" s="7" t="inlineStr">
        <is>
          <t>Build I opens</t>
        </is>
      </c>
      <c r="D8" s="19">
        <f>SUMIFS(Log!$H$5:$H$400,Log!$C$5:$C$400,$A8)</f>
        <v/>
      </c>
      <c r="E8" s="19">
        <f>SUMIFS(Log!$K$5:$K$400,Log!$C$5:$C$400,$A8)</f>
        <v/>
      </c>
      <c r="F8" s="20">
        <f>IF(E8=0,"",E8-D8)</f>
        <v/>
      </c>
      <c r="G8" s="5">
        <f>IF(E8=0,"–",IF(E8&gt;=6000,"OK","UNDER"))</f>
        <v/>
      </c>
      <c r="H8" s="21">
        <f>SUMIFS(Log!$I$5:$I$400,Log!$C$5:$C$400,$A8)</f>
        <v/>
      </c>
      <c r="I8" s="21">
        <f>SUMIFS(Log!$L$5:$L$400,Log!$C$5:$C$400,$A8)</f>
        <v/>
      </c>
      <c r="J8" s="22">
        <f>IF(I8=0,"",I8-H8)</f>
        <v/>
      </c>
      <c r="K8" s="23">
        <f>COUNTIFS(Log!$C$5:$C$400,$A8)</f>
        <v/>
      </c>
      <c r="L8" s="23">
        <f>COUNTIFS(Log!$C$5:$C$400,$A8,Log!$J$5:$J$400,"Y")</f>
        <v/>
      </c>
      <c r="M8" s="24">
        <f>IFERROR(L8/K8,0)</f>
        <v/>
      </c>
    </row>
    <row r="9">
      <c r="A9" s="5" t="n">
        <v>5</v>
      </c>
      <c r="B9" s="5" t="inlineStr">
        <is>
          <t>2026-10-19</t>
        </is>
      </c>
      <c r="C9" s="7" t="inlineStr">
        <is>
          <t>Third run, paddles in</t>
        </is>
      </c>
      <c r="D9" s="19">
        <f>SUMIFS(Log!$H$5:$H$400,Log!$C$5:$C$400,$A9)</f>
        <v/>
      </c>
      <c r="E9" s="19">
        <f>SUMIFS(Log!$K$5:$K$400,Log!$C$5:$C$400,$A9)</f>
        <v/>
      </c>
      <c r="F9" s="20">
        <f>IF(E9=0,"",E9-D9)</f>
        <v/>
      </c>
      <c r="G9" s="5">
        <f>IF(E9=0,"–",IF(E9&gt;=6000,"OK","UNDER"))</f>
        <v/>
      </c>
      <c r="H9" s="21">
        <f>SUMIFS(Log!$I$5:$I$400,Log!$C$5:$C$400,$A9)</f>
        <v/>
      </c>
      <c r="I9" s="21">
        <f>SUMIFS(Log!$L$5:$L$400,Log!$C$5:$C$400,$A9)</f>
        <v/>
      </c>
      <c r="J9" s="22">
        <f>IF(I9=0,"",I9-H9)</f>
        <v/>
      </c>
      <c r="K9" s="23">
        <f>COUNTIFS(Log!$C$5:$C$400,$A9)</f>
        <v/>
      </c>
      <c r="L9" s="23">
        <f>COUNTIFS(Log!$C$5:$C$400,$A9,Log!$J$5:$J$400,"Y")</f>
        <v/>
      </c>
      <c r="M9" s="24">
        <f>IFERROR(L9/K9,0)</f>
        <v/>
      </c>
    </row>
    <row r="10">
      <c r="A10" s="5" t="n">
        <v>6</v>
      </c>
      <c r="B10" s="5" t="inlineStr">
        <is>
          <t>2026-10-26</t>
        </is>
      </c>
      <c r="C10" s="7" t="inlineStr">
        <is>
          <t>New York — swims front-loaded</t>
        </is>
      </c>
      <c r="D10" s="19">
        <f>SUMIFS(Log!$H$5:$H$400,Log!$C$5:$C$400,$A10)</f>
        <v/>
      </c>
      <c r="E10" s="19">
        <f>SUMIFS(Log!$K$5:$K$400,Log!$C$5:$C$400,$A10)</f>
        <v/>
      </c>
      <c r="F10" s="20">
        <f>IF(E10=0,"",E10-D10)</f>
        <v/>
      </c>
      <c r="G10" s="5">
        <f>IF(E10=0,"–",IF(E10&gt;=6000,"OK","UNDER"))</f>
        <v/>
      </c>
      <c r="H10" s="21">
        <f>SUMIFS(Log!$I$5:$I$400,Log!$C$5:$C$400,$A10)</f>
        <v/>
      </c>
      <c r="I10" s="21">
        <f>SUMIFS(Log!$L$5:$L$400,Log!$C$5:$C$400,$A10)</f>
        <v/>
      </c>
      <c r="J10" s="22">
        <f>IF(I10=0,"",I10-H10)</f>
        <v/>
      </c>
      <c r="K10" s="23">
        <f>COUNTIFS(Log!$C$5:$C$400,$A10)</f>
        <v/>
      </c>
      <c r="L10" s="23">
        <f>COUNTIFS(Log!$C$5:$C$400,$A10,Log!$J$5:$J$400,"Y")</f>
        <v/>
      </c>
      <c r="M10" s="24">
        <f>IFERROR(L10/K10,0)</f>
        <v/>
      </c>
    </row>
    <row r="11">
      <c r="A11" s="5" t="n">
        <v>7</v>
      </c>
      <c r="B11" s="5" t="inlineStr">
        <is>
          <t>2026-11-02</t>
        </is>
      </c>
      <c r="C11" s="7" t="inlineStr">
        <is>
          <t>Back-loaded return</t>
        </is>
      </c>
      <c r="D11" s="19">
        <f>SUMIFS(Log!$H$5:$H$400,Log!$C$5:$C$400,$A11)</f>
        <v/>
      </c>
      <c r="E11" s="19">
        <f>SUMIFS(Log!$K$5:$K$400,Log!$C$5:$C$400,$A11)</f>
        <v/>
      </c>
      <c r="F11" s="20">
        <f>IF(E11=0,"",E11-D11)</f>
        <v/>
      </c>
      <c r="G11" s="5">
        <f>IF(E11=0,"–",IF(E11&gt;=6000,"OK","UNDER"))</f>
        <v/>
      </c>
      <c r="H11" s="21">
        <f>SUMIFS(Log!$I$5:$I$400,Log!$C$5:$C$400,$A11)</f>
        <v/>
      </c>
      <c r="I11" s="21">
        <f>SUMIFS(Log!$L$5:$L$400,Log!$C$5:$C$400,$A11)</f>
        <v/>
      </c>
      <c r="J11" s="22">
        <f>IF(I11=0,"",I11-H11)</f>
        <v/>
      </c>
      <c r="K11" s="23">
        <f>COUNTIFS(Log!$C$5:$C$400,$A11)</f>
        <v/>
      </c>
      <c r="L11" s="23">
        <f>COUNTIFS(Log!$C$5:$C$400,$A11,Log!$J$5:$J$400,"Y")</f>
        <v/>
      </c>
      <c r="M11" s="24">
        <f>IFERROR(L11/K11,0)</f>
        <v/>
      </c>
    </row>
    <row r="12">
      <c r="A12" s="5" t="n">
        <v>8</v>
      </c>
      <c r="B12" s="5" t="inlineStr">
        <is>
          <t>2026-11-09</t>
        </is>
      </c>
      <c r="C12" s="7" t="inlineStr">
        <is>
          <t>Retest + race distance</t>
        </is>
      </c>
      <c r="D12" s="19">
        <f>SUMIFS(Log!$H$5:$H$400,Log!$C$5:$C$400,$A12)</f>
        <v/>
      </c>
      <c r="E12" s="19">
        <f>SUMIFS(Log!$K$5:$K$400,Log!$C$5:$C$400,$A12)</f>
        <v/>
      </c>
      <c r="F12" s="20">
        <f>IF(E12=0,"",E12-D12)</f>
        <v/>
      </c>
      <c r="G12" s="5">
        <f>IF(E12=0,"–",IF(E12&gt;=6000,"OK","UNDER"))</f>
        <v/>
      </c>
      <c r="H12" s="21">
        <f>SUMIFS(Log!$I$5:$I$400,Log!$C$5:$C$400,$A12)</f>
        <v/>
      </c>
      <c r="I12" s="21">
        <f>SUMIFS(Log!$L$5:$L$400,Log!$C$5:$C$400,$A12)</f>
        <v/>
      </c>
      <c r="J12" s="22">
        <f>IF(I12=0,"",I12-H12)</f>
        <v/>
      </c>
      <c r="K12" s="23">
        <f>COUNTIFS(Log!$C$5:$C$400,$A12)</f>
        <v/>
      </c>
      <c r="L12" s="23">
        <f>COUNTIFS(Log!$C$5:$C$400,$A12,Log!$J$5:$J$400,"Y")</f>
        <v/>
      </c>
      <c r="M12" s="24">
        <f>IFERROR(L12/K12,0)</f>
        <v/>
      </c>
    </row>
    <row r="13">
      <c r="A13" s="5" t="n">
        <v>9</v>
      </c>
      <c r="B13" s="5" t="inlineStr">
        <is>
          <t>2026-11-16</t>
        </is>
      </c>
      <c r="C13" s="7" t="inlineStr">
        <is>
          <t>Peak week</t>
        </is>
      </c>
      <c r="D13" s="19">
        <f>SUMIFS(Log!$H$5:$H$400,Log!$C$5:$C$400,$A13)</f>
        <v/>
      </c>
      <c r="E13" s="19">
        <f>SUMIFS(Log!$K$5:$K$400,Log!$C$5:$C$400,$A13)</f>
        <v/>
      </c>
      <c r="F13" s="20">
        <f>IF(E13=0,"",E13-D13)</f>
        <v/>
      </c>
      <c r="G13" s="5">
        <f>IF(E13=0,"–",IF(E13&gt;=6000,"OK","UNDER"))</f>
        <v/>
      </c>
      <c r="H13" s="21">
        <f>SUMIFS(Log!$I$5:$I$400,Log!$C$5:$C$400,$A13)</f>
        <v/>
      </c>
      <c r="I13" s="21">
        <f>SUMIFS(Log!$L$5:$L$400,Log!$C$5:$C$400,$A13)</f>
        <v/>
      </c>
      <c r="J13" s="22">
        <f>IF(I13=0,"",I13-H13)</f>
        <v/>
      </c>
      <c r="K13" s="23">
        <f>COUNTIFS(Log!$C$5:$C$400,$A13)</f>
        <v/>
      </c>
      <c r="L13" s="23">
        <f>COUNTIFS(Log!$C$5:$C$400,$A13,Log!$J$5:$J$400,"Y")</f>
        <v/>
      </c>
      <c r="M13" s="24">
        <f>IFERROR(L13/K13,0)</f>
        <v/>
      </c>
    </row>
    <row r="14">
      <c r="A14" s="5" t="n">
        <v>10</v>
      </c>
      <c r="B14" s="5" t="inlineStr">
        <is>
          <t>2026-11-23</t>
        </is>
      </c>
      <c r="C14" s="7" t="inlineStr">
        <is>
          <t>Edmonton — absorb</t>
        </is>
      </c>
      <c r="D14" s="19">
        <f>SUMIFS(Log!$H$5:$H$400,Log!$C$5:$C$400,$A14)</f>
        <v/>
      </c>
      <c r="E14" s="19">
        <f>SUMIFS(Log!$K$5:$K$400,Log!$C$5:$C$400,$A14)</f>
        <v/>
      </c>
      <c r="F14" s="20">
        <f>IF(E14=0,"",E14-D14)</f>
        <v/>
      </c>
      <c r="G14" s="5">
        <f>IF(E14=0,"–",IF(E14&gt;=6000,"OK","UNDER"))</f>
        <v/>
      </c>
      <c r="H14" s="21">
        <f>SUMIFS(Log!$I$5:$I$400,Log!$C$5:$C$400,$A14)</f>
        <v/>
      </c>
      <c r="I14" s="21">
        <f>SUMIFS(Log!$L$5:$L$400,Log!$C$5:$C$400,$A14)</f>
        <v/>
      </c>
      <c r="J14" s="22">
        <f>IF(I14=0,"",I14-H14)</f>
        <v/>
      </c>
      <c r="K14" s="23">
        <f>COUNTIFS(Log!$C$5:$C$400,$A14)</f>
        <v/>
      </c>
      <c r="L14" s="23">
        <f>COUNTIFS(Log!$C$5:$C$400,$A14,Log!$J$5:$J$400,"Y")</f>
        <v/>
      </c>
      <c r="M14" s="24">
        <f>IFERROR(L14/K14,0)</f>
        <v/>
      </c>
    </row>
    <row r="15">
      <c r="A15" s="5" t="n">
        <v>11</v>
      </c>
      <c r="B15" s="5" t="inlineStr">
        <is>
          <t>2026-11-30</t>
        </is>
      </c>
      <c r="C15" s="7" t="inlineStr">
        <is>
          <t>Race week — run-only taper</t>
        </is>
      </c>
      <c r="D15" s="19">
        <f>SUMIFS(Log!$H$5:$H$400,Log!$C$5:$C$400,$A15)</f>
        <v/>
      </c>
      <c r="E15" s="19">
        <f>SUMIFS(Log!$K$5:$K$400,Log!$C$5:$C$400,$A15)</f>
        <v/>
      </c>
      <c r="F15" s="20">
        <f>IF(E15=0,"",E15-D15)</f>
        <v/>
      </c>
      <c r="G15" s="5">
        <f>IF(E15=0,"–",IF(E15&gt;=6000,"OK","UNDER"))</f>
        <v/>
      </c>
      <c r="H15" s="21">
        <f>SUMIFS(Log!$I$5:$I$400,Log!$C$5:$C$400,$A15)</f>
        <v/>
      </c>
      <c r="I15" s="21">
        <f>SUMIFS(Log!$L$5:$L$400,Log!$C$5:$C$400,$A15)</f>
        <v/>
      </c>
      <c r="J15" s="22">
        <f>IF(I15=0,"",I15-H15)</f>
        <v/>
      </c>
      <c r="K15" s="23">
        <f>COUNTIFS(Log!$C$5:$C$400,$A15)</f>
        <v/>
      </c>
      <c r="L15" s="23">
        <f>COUNTIFS(Log!$C$5:$C$400,$A15,Log!$J$5:$J$400,"Y")</f>
        <v/>
      </c>
      <c r="M15" s="24">
        <f>IFERROR(L15/K15,0)</f>
        <v/>
      </c>
    </row>
    <row r="16">
      <c r="A16" s="5" t="n">
        <v>12</v>
      </c>
      <c r="B16" s="5" t="inlineStr">
        <is>
          <t>2026-12-07</t>
        </is>
      </c>
      <c r="C16" s="7" t="inlineStr">
        <is>
          <t>Florida — front-load, then travel light</t>
        </is>
      </c>
      <c r="D16" s="19">
        <f>SUMIFS(Log!$H$5:$H$400,Log!$C$5:$C$400,$A16)</f>
        <v/>
      </c>
      <c r="E16" s="19">
        <f>SUMIFS(Log!$K$5:$K$400,Log!$C$5:$C$400,$A16)</f>
        <v/>
      </c>
      <c r="F16" s="20">
        <f>IF(E16=0,"",E16-D16)</f>
        <v/>
      </c>
      <c r="G16" s="5">
        <f>IF(E16=0,"–",IF(E16&gt;=6000,"OK","UNDER"))</f>
        <v/>
      </c>
      <c r="H16" s="21">
        <f>SUMIFS(Log!$I$5:$I$400,Log!$C$5:$C$400,$A16)</f>
        <v/>
      </c>
      <c r="I16" s="21">
        <f>SUMIFS(Log!$L$5:$L$400,Log!$C$5:$C$400,$A16)</f>
        <v/>
      </c>
      <c r="J16" s="22">
        <f>IF(I16=0,"",I16-H16)</f>
        <v/>
      </c>
      <c r="K16" s="23">
        <f>COUNTIFS(Log!$C$5:$C$400,$A16)</f>
        <v/>
      </c>
      <c r="L16" s="23">
        <f>COUNTIFS(Log!$C$5:$C$400,$A16,Log!$J$5:$J$400,"Y")</f>
        <v/>
      </c>
      <c r="M16" s="24">
        <f>IFERROR(L16/K16,0)</f>
        <v/>
      </c>
    </row>
    <row r="17">
      <c r="A17" s="5" t="n">
        <v>13</v>
      </c>
      <c r="B17" s="5" t="inlineStr">
        <is>
          <t>2026-12-14</t>
        </is>
      </c>
      <c r="C17" s="7" t="inlineStr">
        <is>
          <t>North Carolina — normal week restored</t>
        </is>
      </c>
      <c r="D17" s="19">
        <f>SUMIFS(Log!$H$5:$H$400,Log!$C$5:$C$400,$A17)</f>
        <v/>
      </c>
      <c r="E17" s="19">
        <f>SUMIFS(Log!$K$5:$K$400,Log!$C$5:$C$400,$A17)</f>
        <v/>
      </c>
      <c r="F17" s="20">
        <f>IF(E17=0,"",E17-D17)</f>
        <v/>
      </c>
      <c r="G17" s="5">
        <f>IF(E17=0,"–",IF(E17&gt;=6000,"OK","UNDER"))</f>
        <v/>
      </c>
      <c r="H17" s="21">
        <f>SUMIFS(Log!$I$5:$I$400,Log!$C$5:$C$400,$A17)</f>
        <v/>
      </c>
      <c r="I17" s="21">
        <f>SUMIFS(Log!$L$5:$L$400,Log!$C$5:$C$400,$A17)</f>
        <v/>
      </c>
      <c r="J17" s="22">
        <f>IF(I17=0,"",I17-H17)</f>
        <v/>
      </c>
      <c r="K17" s="23">
        <f>COUNTIFS(Log!$C$5:$C$400,$A17)</f>
        <v/>
      </c>
      <c r="L17" s="23">
        <f>COUNTIFS(Log!$C$5:$C$400,$A17,Log!$J$5:$J$400,"Y")</f>
        <v/>
      </c>
      <c r="M17" s="24">
        <f>IFERROR(L17/K17,0)</f>
        <v/>
      </c>
    </row>
    <row r="18">
      <c r="A18" s="5" t="n">
        <v>14</v>
      </c>
      <c r="B18" s="5" t="inlineStr">
        <is>
          <t>2026-12-21</t>
        </is>
      </c>
      <c r="C18" s="7" t="inlineStr">
        <is>
          <t>Edmonton — holidays, kept honest</t>
        </is>
      </c>
      <c r="D18" s="19">
        <f>SUMIFS(Log!$H$5:$H$400,Log!$C$5:$C$400,$A18)</f>
        <v/>
      </c>
      <c r="E18" s="19">
        <f>SUMIFS(Log!$K$5:$K$400,Log!$C$5:$C$400,$A18)</f>
        <v/>
      </c>
      <c r="F18" s="20">
        <f>IF(E18=0,"",E18-D18)</f>
        <v/>
      </c>
      <c r="G18" s="5">
        <f>IF(E18=0,"–",IF(E18&gt;=6000,"OK","UNDER"))</f>
        <v/>
      </c>
      <c r="H18" s="21">
        <f>SUMIFS(Log!$I$5:$I$400,Log!$C$5:$C$400,$A18)</f>
        <v/>
      </c>
      <c r="I18" s="21">
        <f>SUMIFS(Log!$L$5:$L$400,Log!$C$5:$C$400,$A18)</f>
        <v/>
      </c>
      <c r="J18" s="22">
        <f>IF(I18=0,"",I18-H18)</f>
        <v/>
      </c>
      <c r="K18" s="23">
        <f>COUNTIFS(Log!$C$5:$C$400,$A18)</f>
        <v/>
      </c>
      <c r="L18" s="23">
        <f>COUNTIFS(Log!$C$5:$C$400,$A18,Log!$J$5:$J$400,"Y")</f>
        <v/>
      </c>
      <c r="M18" s="24">
        <f>IFERROR(L18/K18,0)</f>
        <v/>
      </c>
    </row>
    <row r="19">
      <c r="A19" s="5" t="n">
        <v>15</v>
      </c>
      <c r="B19" s="5" t="inlineStr">
        <is>
          <t>2026-12-28</t>
        </is>
      </c>
      <c r="C19" s="7" t="inlineStr">
        <is>
          <t>Close the block</t>
        </is>
      </c>
      <c r="D19" s="19">
        <f>SUMIFS(Log!$H$5:$H$400,Log!$C$5:$C$400,$A19)</f>
        <v/>
      </c>
      <c r="E19" s="19">
        <f>SUMIFS(Log!$K$5:$K$400,Log!$C$5:$C$400,$A19)</f>
        <v/>
      </c>
      <c r="F19" s="20">
        <f>IF(E19=0,"",E19-D19)</f>
        <v/>
      </c>
      <c r="G19" s="5">
        <f>IF(E19=0,"–",IF(E19&gt;=6000,"OK","UNDER"))</f>
        <v/>
      </c>
      <c r="H19" s="21">
        <f>SUMIFS(Log!$I$5:$I$400,Log!$C$5:$C$400,$A19)</f>
        <v/>
      </c>
      <c r="I19" s="21">
        <f>SUMIFS(Log!$L$5:$L$400,Log!$C$5:$C$400,$A19)</f>
        <v/>
      </c>
      <c r="J19" s="22">
        <f>IF(I19=0,"",I19-H19)</f>
        <v/>
      </c>
      <c r="K19" s="23">
        <f>COUNTIFS(Log!$C$5:$C$400,$A19)</f>
        <v/>
      </c>
      <c r="L19" s="23">
        <f>COUNTIFS(Log!$C$5:$C$400,$A19,Log!$J$5:$J$400,"Y")</f>
        <v/>
      </c>
      <c r="M19" s="24">
        <f>IFERROR(L19/K19,0)</f>
        <v/>
      </c>
    </row>
    <row r="20">
      <c r="A20" s="25" t="inlineStr">
        <is>
          <t>All</t>
        </is>
      </c>
      <c r="B20" s="26" t="n"/>
      <c r="C20" s="25" t="inlineStr">
        <is>
          <t>Block total</t>
        </is>
      </c>
      <c r="D20" s="27">
        <f>SUM(D5:D19)</f>
        <v/>
      </c>
      <c r="E20" s="27">
        <f>SUM(E5:E19)</f>
        <v/>
      </c>
      <c r="F20" s="26" t="n"/>
      <c r="G20" s="26" t="n"/>
      <c r="H20" s="28">
        <f>SUM(H5:H19)</f>
        <v/>
      </c>
      <c r="I20" s="28">
        <f>SUM(I5:I19)</f>
        <v/>
      </c>
      <c r="J20" s="26" t="n"/>
      <c r="K20" s="25">
        <f>SUM(K5:K19)</f>
        <v/>
      </c>
      <c r="L20" s="25">
        <f>SUM(L5:L19)</f>
        <v/>
      </c>
      <c r="M20" s="29">
        <f>IFERROR(L20/K20,0)</f>
        <v/>
      </c>
    </row>
  </sheetData>
  <mergeCells count="2">
    <mergeCell ref="A2:M2"/>
    <mergeCell ref="A1:M1"/>
  </mergeCells>
  <conditionalFormatting sqref="G5:G19">
    <cfRule type="cellIs" priority="1" operator="equal" dxfId="1">
      <formula>"UNDER"</formula>
    </cfRule>
    <cfRule type="cellIs" priority="2" operator="equal" dxfId="2">
      <formula>"OK"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5"/>
  <cols>
    <col width="22" customWidth="1" min="1" max="1"/>
    <col width="16" customWidth="1" min="2" max="2"/>
    <col width="40" customWidth="1" min="3" max="3"/>
    <col width="46" customWidth="1" min="4" max="4"/>
    <col width="14" customWidth="1" min="5" max="5"/>
    <col width="30" customWidth="1" min="6" max="6"/>
  </cols>
  <sheetData>
    <row r="1">
      <c r="A1" s="1" t="inlineStr">
        <is>
          <t>Swim — the engine of this block</t>
        </is>
      </c>
    </row>
    <row r="2">
      <c r="A2" s="2" t="inlineStr">
        <is>
          <t>CSS drives every send-off. Retest Sep 21, Nov 9, Dec 28 and update the yellow cells.</t>
        </is>
      </c>
    </row>
    <row r="4">
      <c r="A4" s="30" t="inlineStr">
        <is>
          <t>CSS test log</t>
        </is>
      </c>
    </row>
    <row r="5">
      <c r="A5" s="3" t="inlineStr">
        <is>
          <t>Date</t>
        </is>
      </c>
      <c r="B5" s="3" t="inlineStr">
        <is>
          <t>400 yd time</t>
        </is>
      </c>
      <c r="C5" s="3" t="inlineStr">
        <is>
          <t>200 yd time</t>
        </is>
      </c>
      <c r="D5" s="3" t="inlineStr">
        <is>
          <t>CSS /100 yd (sec)</t>
        </is>
      </c>
      <c r="E5" s="3" t="inlineStr">
        <is>
          <t>CSS as m:ss</t>
        </is>
      </c>
      <c r="F5" s="3" t="inlineStr">
        <is>
          <t>Notes</t>
        </is>
      </c>
    </row>
    <row r="6">
      <c r="A6" s="31" t="inlineStr">
        <is>
          <t>2026-09-21</t>
        </is>
      </c>
      <c r="B6" s="32" t="n"/>
      <c r="C6" s="32" t="n"/>
      <c r="D6" s="33">
        <f>IF(OR(B6="",C6=""),"",ROUND((B6-C6)*86400/2,1))</f>
        <v/>
      </c>
      <c r="E6" s="34">
        <f>IF(D6="","",INT(D6/60)&amp;":"&amp;TEXT(MOD(D6,60),"00"))</f>
        <v/>
      </c>
      <c r="F6" s="35" t="n"/>
    </row>
    <row r="7">
      <c r="A7" s="31" t="inlineStr">
        <is>
          <t>2026-11-09</t>
        </is>
      </c>
      <c r="B7" s="32" t="n"/>
      <c r="C7" s="32" t="n"/>
      <c r="D7" s="33">
        <f>IF(OR(B7="",C7=""),"",ROUND((B7-C7)*86400/2,1))</f>
        <v/>
      </c>
      <c r="E7" s="34">
        <f>IF(D7="","",INT(D7/60)&amp;":"&amp;TEXT(MOD(D7,60),"00"))</f>
        <v/>
      </c>
      <c r="F7" s="35" t="n"/>
    </row>
    <row r="8">
      <c r="A8" s="31" t="inlineStr">
        <is>
          <t>2026-12-28</t>
        </is>
      </c>
      <c r="B8" s="32" t="n"/>
      <c r="C8" s="32" t="n"/>
      <c r="D8" s="33">
        <f>IF(OR(B8="",C8=""),"",ROUND((B8-C8)*86400/2,1))</f>
        <v/>
      </c>
      <c r="E8" s="34">
        <f>IF(D8="","",INT(D8/60)&amp;":"&amp;TEXT(MOD(D8,60),"00"))</f>
        <v/>
      </c>
      <c r="F8" s="35" t="n"/>
    </row>
    <row r="10">
      <c r="A10" s="2" t="inlineStr">
        <is>
          <t>Enter times as m:ss (e.g. 7:40). CSS = (T400 − T200) ÷ 2, in seconds per 100 yd.</t>
        </is>
      </c>
    </row>
    <row r="12">
      <c r="A12" s="30" t="inlineStr">
        <is>
          <t>Pace zones (recalculate off your measured CSS)</t>
        </is>
      </c>
    </row>
    <row r="13">
      <c r="A13" s="3" t="inlineStr">
        <is>
          <t>Zone</t>
        </is>
      </c>
      <c r="B13" s="3" t="inlineStr">
        <is>
          <t>Target</t>
        </is>
      </c>
      <c r="C13" s="3" t="inlineStr">
        <is>
          <t>Cue</t>
        </is>
      </c>
    </row>
    <row r="14">
      <c r="A14" s="5" t="inlineStr">
        <is>
          <t>Easy / recovery</t>
        </is>
      </c>
      <c r="B14" s="5" t="inlineStr">
        <is>
          <t>2:10–2:20</t>
        </is>
      </c>
      <c r="C14" s="7" t="inlineStr">
        <is>
          <t>Conversational. Used for warm-up, cool-down, and the technique swim.</t>
        </is>
      </c>
    </row>
    <row r="15">
      <c r="A15" s="5" t="inlineStr">
        <is>
          <t>Aerobic (Z2)</t>
        </is>
      </c>
      <c r="B15" s="5" t="inlineStr">
        <is>
          <t>2:00–2:10</t>
        </is>
      </c>
      <c r="C15" s="7" t="inlineStr">
        <is>
          <t>The pace a long continuous swim should feel like. Nose-breathing calm.</t>
        </is>
      </c>
    </row>
    <row r="16">
      <c r="A16" s="5" t="inlineStr">
        <is>
          <t>CSS / threshold</t>
        </is>
      </c>
      <c r="B16" s="5" t="inlineStr">
        <is>
          <t>1:52–1:58</t>
        </is>
      </c>
      <c r="C16" s="7" t="inlineStr">
        <is>
          <t>The engine of this block. Comfortably hard, repeatable for 20–40 min of work.</t>
        </is>
      </c>
    </row>
    <row r="17">
      <c r="A17" s="5" t="inlineStr">
        <is>
          <t>Fast (VO2)</t>
        </is>
      </c>
      <c r="B17" s="5" t="inlineStr">
        <is>
          <t>1:38–1:48</t>
        </is>
      </c>
      <c r="C17" s="7" t="inlineStr">
        <is>
          <t>50s and short 100s. Hard but still with clean catch and a long stroke.</t>
        </is>
      </c>
    </row>
    <row r="18">
      <c r="A18" s="5" t="inlineStr">
        <is>
          <t>Sprint</t>
        </is>
      </c>
      <c r="B18" s="5" t="inlineStr">
        <is>
          <t>1:30–1:35</t>
        </is>
      </c>
      <c r="C18" s="7" t="inlineStr">
        <is>
          <t>25s and the last 50 of a set. Rare — this is already a strength.</t>
        </is>
      </c>
    </row>
    <row r="20">
      <c r="A20" s="30" t="inlineStr">
        <is>
          <t>Send-offs</t>
        </is>
      </c>
    </row>
    <row r="21">
      <c r="A21" s="3" t="inlineStr">
        <is>
          <t>Set</t>
        </is>
      </c>
      <c r="B21" s="3" t="inlineStr">
        <is>
          <t>Send-off</t>
        </is>
      </c>
      <c r="C21" s="3" t="inlineStr">
        <is>
          <t>Rest</t>
        </is>
      </c>
    </row>
    <row r="22">
      <c r="A22" s="7" t="inlineStr">
        <is>
          <t>100 aerobic</t>
        </is>
      </c>
      <c r="B22" s="5" t="inlineStr">
        <is>
          <t>2:30</t>
        </is>
      </c>
      <c r="C22" s="5" t="inlineStr">
        <is>
          <t>~25 s</t>
        </is>
      </c>
    </row>
    <row r="23">
      <c r="A23" s="7" t="inlineStr">
        <is>
          <t>100 threshold (CSS)</t>
        </is>
      </c>
      <c r="B23" s="5" t="inlineStr">
        <is>
          <t>2:15</t>
        </is>
      </c>
      <c r="C23" s="5" t="inlineStr">
        <is>
          <t>~18 s</t>
        </is>
      </c>
    </row>
    <row r="24">
      <c r="A24" s="7" t="inlineStr">
        <is>
          <t>100 fast</t>
        </is>
      </c>
      <c r="B24" s="5" t="inlineStr">
        <is>
          <t>2:30</t>
        </is>
      </c>
      <c r="C24" s="5" t="inlineStr">
        <is>
          <t>~40 s</t>
        </is>
      </c>
    </row>
    <row r="25">
      <c r="A25" s="7" t="inlineStr">
        <is>
          <t>50 aerobic</t>
        </is>
      </c>
      <c r="B25" s="5" t="inlineStr">
        <is>
          <t>1:15</t>
        </is>
      </c>
      <c r="C25" s="5" t="inlineStr">
        <is>
          <t>~13 s</t>
        </is>
      </c>
    </row>
    <row r="26">
      <c r="A26" s="7" t="inlineStr">
        <is>
          <t>50 threshold (CSS)</t>
        </is>
      </c>
      <c r="B26" s="5" t="inlineStr">
        <is>
          <t>1:05</t>
        </is>
      </c>
      <c r="C26" s="5" t="inlineStr">
        <is>
          <t>~8 s</t>
        </is>
      </c>
    </row>
    <row r="27">
      <c r="A27" s="7" t="inlineStr">
        <is>
          <t>50 fast</t>
        </is>
      </c>
      <c r="B27" s="5" t="inlineStr">
        <is>
          <t>1:15</t>
        </is>
      </c>
      <c r="C27" s="5" t="inlineStr">
        <is>
          <t>~25 s</t>
        </is>
      </c>
    </row>
    <row r="28">
      <c r="A28" s="7" t="inlineStr">
        <is>
          <t>200 threshold (CSS)</t>
        </is>
      </c>
      <c r="B28" s="5" t="inlineStr">
        <is>
          <t>4:25</t>
        </is>
      </c>
      <c r="C28" s="5" t="inlineStr">
        <is>
          <t>~20 s</t>
        </is>
      </c>
    </row>
    <row r="30">
      <c r="A30" s="30" t="inlineStr">
        <is>
          <t>Drill progression</t>
        </is>
      </c>
    </row>
    <row r="31">
      <c r="A31" s="3" t="inlineStr">
        <is>
          <t>Phase</t>
        </is>
      </c>
      <c r="B31" s="3" t="inlineStr">
        <is>
          <t>Title</t>
        </is>
      </c>
      <c r="C31" s="3" t="inlineStr">
        <is>
          <t>Focus</t>
        </is>
      </c>
      <c r="D31" s="3" t="inlineStr">
        <is>
          <t>Drills</t>
        </is>
      </c>
    </row>
    <row r="32">
      <c r="A32" s="5" t="inlineStr">
        <is>
          <t>Weeks 1–3</t>
        </is>
      </c>
      <c r="B32" s="5" t="inlineStr">
        <is>
          <t>Body position + the send-off habit</t>
        </is>
      </c>
      <c r="C32" s="7" t="inlineStr">
        <is>
          <t>Get the new gear working and stop the sessions from being rest-dominated. Snorkel removes breathing as a variable so body and head position can actually be felt.</t>
        </is>
      </c>
      <c r="D32" s="7" t="inlineStr">
        <is>
          <t>Snorkel + fins, 6 × 50: flutter kick on front, eyes down, hips high. · 6-1-6 with fins, 4 × 50 per side: six kicks on the side, one stroke, six on the other. · Catch-up, 4 × 50: patient lead arm, long body line, no crossover. · Fingertip drag, 4 × 50: relaxed recovery, high elbow, unhurried rotation. · Breathe-3 on easy 50s only — warm-up and cool-down, never inside a hard set.</t>
        </is>
      </c>
    </row>
    <row r="33">
      <c r="A33" s="5" t="inlineStr">
        <is>
          <t>Weeks 4–7</t>
        </is>
      </c>
      <c r="B33" s="5" t="inlineStr">
        <is>
          <t>Catch + symmetry</t>
        </is>
      </c>
      <c r="C33" s="7" t="inlineStr">
        <is>
          <t>Build an earlier, higher-elbow catch and start balancing the stroke. Paddles arrive in Week 5 and stay capped.</t>
        </is>
      </c>
      <c r="D33" s="7" t="inlineStr">
        <is>
          <t>Front scull, 3 × 50 with snorkel: forearm vertical, pressure back not down. · Single-arm freestyle, 4 × 50 per side: the weak (left-breathing) side gets the extra 50. · Closed-fist, 4 × 50, then 50 normal — the contrast teaches the forearm to grip water. · 3/5/3 breathing pattern through warm-ups: three strokes, five strokes, three. · Small paddles + pull buoy, max 400 yd: hold the catch, stop if the shoulder complains. · Breaststroke timing, 4 × 50: pull, breathe, kick, glide — one thing at a time.</t>
        </is>
      </c>
    </row>
    <row r="34">
      <c r="A34" s="5" t="inlineStr">
        <is>
          <t>Weeks 8–15</t>
        </is>
      </c>
      <c r="B34" s="5" t="inlineStr">
        <is>
          <t>Hold form under fatigue</t>
        </is>
      </c>
      <c r="C34" s="7" t="inlineStr">
        <is>
          <t>Technique that survives a hard set is the only technique that counts. Stroke count and SWOLF become the feedback loop since there is no coach on deck.</t>
        </is>
      </c>
      <c r="D34" s="7" t="inlineStr">
        <is>
          <t>Stroke-count ladder, 4 × 50: hold a fixed count per length, then drop it by one. · Descending 100s at a fixed stroke count — get faster without adding strokes. · Breathe-3 as the default for all easy swimming and the first 25 of each threshold 100. · Sighting, 6 × 50: eyes just above the water every 6–8 strokes, ahead of open water next year. · Breaststroke 200 continuous — an honest second stroke, not a novelty. · Self-check every Monday: log the 100 that felt best and its stroke count.</t>
        </is>
      </c>
    </row>
    <row r="36">
      <c r="A36" s="30" t="inlineStr">
        <is>
          <t>Before every swim</t>
        </is>
      </c>
    </row>
    <row r="37">
      <c r="A37" s="3" t="inlineStr">
        <is>
          <t>Checklist</t>
        </is>
      </c>
    </row>
    <row r="38">
      <c r="A38" s="7" t="inlineStr">
        <is>
          <t>Fins, center-mount snorkel, and small paddles bought and in the bag by Week 2.</t>
        </is>
      </c>
    </row>
    <row r="39">
      <c r="A39" s="7" t="inlineStr">
        <is>
          <t>Know your CSS number and carry the send-off table on your phone.</t>
        </is>
      </c>
    </row>
    <row r="40">
      <c r="A40" s="7" t="inlineStr">
        <is>
          <t>Every main set leaves on the clock — if you are resting until you feel ready, the set is wrong.</t>
        </is>
      </c>
    </row>
    <row r="41">
      <c r="A41" s="7" t="inlineStr">
        <is>
          <t>Stroke count per 25 yd logged on the best 100 of each Monday session.</t>
        </is>
      </c>
    </row>
    <row r="42">
      <c r="A42" s="7" t="inlineStr">
        <is>
          <t>Breathe-3 feels automatic on easy swimming by Week 8.</t>
        </is>
      </c>
    </row>
    <row r="43">
      <c r="A43" s="7" t="inlineStr">
        <is>
          <t>Breaststroke 200 continuous, relaxed, by Week 12.</t>
        </is>
      </c>
    </row>
    <row r="44">
      <c r="A44" s="7" t="inlineStr">
        <is>
          <t>Shoulder pain stays ≤ 2/10 — paddles are the first thing to drop if it does not.</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10" customWidth="1" min="1" max="1"/>
    <col width="14" customWidth="1" min="2" max="2"/>
    <col width="7" customWidth="1" min="3" max="3"/>
    <col width="15" customWidth="1" min="4" max="4"/>
    <col width="16" customWidth="1" min="5" max="5"/>
    <col width="11" customWidth="1" min="6" max="6"/>
    <col width="68" customWidth="1" min="7" max="7"/>
  </cols>
  <sheetData>
    <row r="1">
      <c r="A1" s="1" t="inlineStr">
        <is>
          <t>Run ramp + lower-leg guardrails</t>
        </is>
      </c>
    </row>
    <row r="2">
      <c r="A2" s="2" t="inlineStr">
        <is>
          <t>The ramp is the plan; the protocol is what keeps you in it. Actual km is pulled from the Log.</t>
        </is>
      </c>
    </row>
    <row r="4">
      <c r="A4" s="30" t="inlineStr">
        <is>
          <t>Weekly ramp</t>
        </is>
      </c>
    </row>
    <row r="5">
      <c r="A5" s="3" t="inlineStr">
        <is>
          <t>Week</t>
        </is>
      </c>
      <c r="B5" s="3" t="inlineStr">
        <is>
          <t>Dates</t>
        </is>
      </c>
      <c r="C5" s="3" t="inlineStr">
        <is>
          <t>Runs</t>
        </is>
      </c>
      <c r="D5" s="3" t="inlineStr">
        <is>
          <t>Planned volume</t>
        </is>
      </c>
      <c r="E5" s="3" t="inlineStr">
        <is>
          <t>Actual (from Log)</t>
        </is>
      </c>
      <c r="F5" s="3" t="inlineStr">
        <is>
          <t>Long run</t>
        </is>
      </c>
      <c r="G5" s="3" t="inlineStr">
        <is>
          <t>Note</t>
        </is>
      </c>
    </row>
    <row r="6">
      <c r="A6" s="5" t="inlineStr">
        <is>
          <t>Week 1</t>
        </is>
      </c>
      <c r="B6" s="5" t="inlineStr">
        <is>
          <t>Sep 21–27</t>
        </is>
      </c>
      <c r="C6" s="5" t="inlineStr">
        <is>
          <t>1</t>
        </is>
      </c>
      <c r="D6" s="5" t="inlineStr">
        <is>
          <t>5 km</t>
        </is>
      </c>
      <c r="E6" s="36">
        <f>IFERROR(SUMIFS(Log!$L$5:$L$400,Log!$C$5:$C$400,1),0)</f>
        <v/>
      </c>
      <c r="F6" s="5" t="inlineStr">
        <is>
          <t>5 km</t>
        </is>
      </c>
      <c r="G6" s="7" t="inlineStr">
        <is>
          <t>Pre-orthotic holding pattern. Track or soft trail only.</t>
        </is>
      </c>
    </row>
    <row r="7">
      <c r="A7" s="5" t="inlineStr">
        <is>
          <t>Week 2</t>
        </is>
      </c>
      <c r="B7" s="5" t="inlineStr">
        <is>
          <t>Sep 28–Oct 4</t>
        </is>
      </c>
      <c r="C7" s="5" t="inlineStr">
        <is>
          <t>1</t>
        </is>
      </c>
      <c r="D7" s="5" t="inlineStr">
        <is>
          <t>6 km</t>
        </is>
      </c>
      <c r="E7" s="36">
        <f>IFERROR(SUMIFS(Log!$L$5:$L$400,Log!$C$5:$C$400,2),0)</f>
        <v/>
      </c>
      <c r="F7" s="5" t="inlineStr">
        <is>
          <t>6 km</t>
        </is>
      </c>
      <c r="G7" s="7" t="inlineStr">
        <is>
          <t>Add 4 × 20 s strides on grass. Still one run.</t>
        </is>
      </c>
    </row>
    <row r="8">
      <c r="A8" s="5" t="inlineStr">
        <is>
          <t>Week 3</t>
        </is>
      </c>
      <c r="B8" s="5" t="inlineStr">
        <is>
          <t>Oct 5–11</t>
        </is>
      </c>
      <c r="C8" s="5" t="inlineStr">
        <is>
          <t>2</t>
        </is>
      </c>
      <c r="D8" s="5" t="inlineStr">
        <is>
          <t>9 km</t>
        </is>
      </c>
      <c r="E8" s="36">
        <f>IFERROR(SUMIFS(Log!$L$5:$L$400,Log!$C$5:$C$400,3),0)</f>
        <v/>
      </c>
      <c r="F8" s="5" t="inlineStr">
        <is>
          <t>5 km</t>
        </is>
      </c>
      <c r="G8" s="7" t="inlineStr">
        <is>
          <t>Second run only if the orthotics have arrived. If not, repeat Week 2.</t>
        </is>
      </c>
    </row>
    <row r="9">
      <c r="A9" s="5" t="inlineStr">
        <is>
          <t>Week 4</t>
        </is>
      </c>
      <c r="B9" s="5" t="inlineStr">
        <is>
          <t>Oct 12–18</t>
        </is>
      </c>
      <c r="C9" s="5" t="inlineStr">
        <is>
          <t>2</t>
        </is>
      </c>
      <c r="D9" s="5" t="inlineStr">
        <is>
          <t>11 km</t>
        </is>
      </c>
      <c r="E9" s="36">
        <f>IFERROR(SUMIFS(Log!$L$5:$L$400,Log!$C$5:$C$400,4),0)</f>
        <v/>
      </c>
      <c r="F9" s="5" t="inlineStr">
        <is>
          <t>6 km</t>
        </is>
      </c>
      <c r="G9" s="7" t="inlineStr">
        <is>
          <t>First week in orthotics — expect new calf soreness, that is normal.</t>
        </is>
      </c>
    </row>
    <row r="10">
      <c r="A10" s="5" t="inlineStr">
        <is>
          <t>Week 5</t>
        </is>
      </c>
      <c r="B10" s="5" t="inlineStr">
        <is>
          <t>Oct 19–25</t>
        </is>
      </c>
      <c r="C10" s="5" t="inlineStr">
        <is>
          <t>3</t>
        </is>
      </c>
      <c r="D10" s="5" t="inlineStr">
        <is>
          <t>13 km</t>
        </is>
      </c>
      <c r="E10" s="36">
        <f>IFERROR(SUMIFS(Log!$L$5:$L$400,Log!$C$5:$C$400,5),0)</f>
        <v/>
      </c>
      <c r="F10" s="5" t="inlineStr">
        <is>
          <t>5 km</t>
        </is>
      </c>
      <c r="G10" s="7" t="inlineStr">
        <is>
          <t>Third run added as three short runs, not one long one.</t>
        </is>
      </c>
    </row>
    <row r="11">
      <c r="A11" s="5" t="inlineStr">
        <is>
          <t>Week 6</t>
        </is>
      </c>
      <c r="B11" s="5" t="inlineStr">
        <is>
          <t>Oct 26–Nov 1</t>
        </is>
      </c>
      <c r="C11" s="5" t="inlineStr">
        <is>
          <t>3</t>
        </is>
      </c>
      <c r="D11" s="5" t="inlineStr">
        <is>
          <t>14 km</t>
        </is>
      </c>
      <c r="E11" s="36">
        <f>IFERROR(SUMIFS(Log!$L$5:$L$400,Log!$C$5:$C$400,6),0)</f>
        <v/>
      </c>
      <c r="F11" s="5" t="inlineStr">
        <is>
          <t>6 km</t>
        </is>
      </c>
      <c r="G11" s="7" t="inlineStr">
        <is>
          <t>New York. Low other load makes this a good run week.</t>
        </is>
      </c>
    </row>
    <row r="12">
      <c r="A12" s="5" t="inlineStr">
        <is>
          <t>Week 7</t>
        </is>
      </c>
      <c r="B12" s="5" t="inlineStr">
        <is>
          <t>Nov 2–8</t>
        </is>
      </c>
      <c r="C12" s="5" t="inlineStr">
        <is>
          <t>3</t>
        </is>
      </c>
      <c r="D12" s="5" t="inlineStr">
        <is>
          <t>12 km</t>
        </is>
      </c>
      <c r="E12" s="36">
        <f>IFERROR(SUMIFS(Log!$L$5:$L$400,Log!$C$5:$C$400,7),0)</f>
        <v/>
      </c>
      <c r="F12" s="5" t="inlineStr">
        <is>
          <t>5 km</t>
        </is>
      </c>
      <c r="G12" s="7" t="inlineStr">
        <is>
          <t>Down week. Flying home plus four swims in four days — running gives way.</t>
        </is>
      </c>
    </row>
    <row r="13">
      <c r="A13" s="5" t="inlineStr">
        <is>
          <t>Week 8</t>
        </is>
      </c>
      <c r="B13" s="5" t="inlineStr">
        <is>
          <t>Nov 9–15</t>
        </is>
      </c>
      <c r="C13" s="5" t="inlineStr">
        <is>
          <t>3</t>
        </is>
      </c>
      <c r="D13" s="5" t="inlineStr">
        <is>
          <t>16 km</t>
        </is>
      </c>
      <c r="E13" s="36">
        <f>IFERROR(SUMIFS(Log!$L$5:$L$400,Log!$C$5:$C$400,8),0)</f>
        <v/>
      </c>
      <c r="F13" s="5" t="inlineStr">
        <is>
          <t>8 km</t>
        </is>
      </c>
      <c r="G13" s="7" t="inlineStr">
        <is>
          <t>Long run reaches race distance for the first time.</t>
        </is>
      </c>
    </row>
    <row r="14">
      <c r="A14" s="5" t="inlineStr">
        <is>
          <t>Week 9</t>
        </is>
      </c>
      <c r="B14" s="5" t="inlineStr">
        <is>
          <t>Nov 16–22</t>
        </is>
      </c>
      <c r="C14" s="5" t="inlineStr">
        <is>
          <t>3</t>
        </is>
      </c>
      <c r="D14" s="5" t="inlineStr">
        <is>
          <t>18 km</t>
        </is>
      </c>
      <c r="E14" s="36">
        <f>IFERROR(SUMIFS(Log!$L$5:$L$400,Log!$C$5:$C$400,9),0)</f>
        <v/>
      </c>
      <c r="F14" s="5" t="inlineStr">
        <is>
          <t>10 km</t>
        </is>
      </c>
      <c r="G14" s="7" t="inlineStr">
        <is>
          <t>Peak run week. 10 km long run, comfortably over race distance.</t>
        </is>
      </c>
    </row>
    <row r="15">
      <c r="A15" s="5" t="inlineStr">
        <is>
          <t>Week 10</t>
        </is>
      </c>
      <c r="B15" s="5" t="inlineStr">
        <is>
          <t>Nov 23–29</t>
        </is>
      </c>
      <c r="C15" s="5" t="inlineStr">
        <is>
          <t>3</t>
        </is>
      </c>
      <c r="D15" s="5" t="inlineStr">
        <is>
          <t>15 km</t>
        </is>
      </c>
      <c r="E15" s="36">
        <f>IFERROR(SUMIFS(Log!$L$5:$L$400,Log!$C$5:$C$400,10),0)</f>
        <v/>
      </c>
      <c r="F15" s="5" t="inlineStr">
        <is>
          <t>7 km</t>
        </is>
      </c>
      <c r="G15" s="7" t="inlineStr">
        <is>
          <t>Edmonton down week. Ice and cold — indoor track is fine here.</t>
        </is>
      </c>
    </row>
    <row r="16">
      <c r="A16" s="5" t="inlineStr">
        <is>
          <t>Week 11</t>
        </is>
      </c>
      <c r="B16" s="5" t="inlineStr">
        <is>
          <t>Nov 30–Dec 6</t>
        </is>
      </c>
      <c r="C16" s="5" t="inlineStr">
        <is>
          <t>2 + race</t>
        </is>
      </c>
      <c r="D16" s="5" t="inlineStr">
        <is>
          <t>16 km</t>
        </is>
      </c>
      <c r="E16" s="36">
        <f>IFERROR(SUMIFS(Log!$L$5:$L$400,Log!$C$5:$C$400,11),0)</f>
        <v/>
      </c>
      <c r="F16" s="5" t="inlineStr">
        <is>
          <t>8 km race</t>
        </is>
      </c>
      <c r="G16" s="7" t="inlineStr">
        <is>
          <t>Run-only taper. Swim, bike, and strength continue exactly as normal.</t>
        </is>
      </c>
    </row>
    <row r="17">
      <c r="A17" s="5" t="inlineStr">
        <is>
          <t>Week 12</t>
        </is>
      </c>
      <c r="B17" s="5" t="inlineStr">
        <is>
          <t>Dec 7–13</t>
        </is>
      </c>
      <c r="C17" s="5" t="inlineStr">
        <is>
          <t>3</t>
        </is>
      </c>
      <c r="D17" s="5" t="inlineStr">
        <is>
          <t>15 km</t>
        </is>
      </c>
      <c r="E17" s="36">
        <f>IFERROR(SUMIFS(Log!$L$5:$L$400,Log!$C$5:$C$400,12),0)</f>
        <v/>
      </c>
      <c r="F17" s="5" t="inlineStr">
        <is>
          <t>6 km</t>
        </is>
      </c>
      <c r="G17" s="7" t="inlineStr">
        <is>
          <t>Florida. Easy running in warm weather, no quality work.</t>
        </is>
      </c>
    </row>
    <row r="18">
      <c r="A18" s="5" t="inlineStr">
        <is>
          <t>Week 13</t>
        </is>
      </c>
      <c r="B18" s="5" t="inlineStr">
        <is>
          <t>Dec 14–20</t>
        </is>
      </c>
      <c r="C18" s="5" t="inlineStr">
        <is>
          <t>3</t>
        </is>
      </c>
      <c r="D18" s="5" t="inlineStr">
        <is>
          <t>17 km</t>
        </is>
      </c>
      <c r="E18" s="36">
        <f>IFERROR(SUMIFS(Log!$L$5:$L$400,Log!$C$5:$C$400,13),0)</f>
        <v/>
      </c>
      <c r="F18" s="5" t="inlineStr">
        <is>
          <t>8 km</t>
        </is>
      </c>
      <c r="G18" s="7" t="inlineStr">
        <is>
          <t>North Carolina gym week. Normal structure returns.</t>
        </is>
      </c>
    </row>
    <row r="19">
      <c r="A19" s="5" t="inlineStr">
        <is>
          <t>Week 14</t>
        </is>
      </c>
      <c r="B19" s="5" t="inlineStr">
        <is>
          <t>Dec 21–27</t>
        </is>
      </c>
      <c r="C19" s="5" t="inlineStr">
        <is>
          <t>3</t>
        </is>
      </c>
      <c r="D19" s="5" t="inlineStr">
        <is>
          <t>17 km</t>
        </is>
      </c>
      <c r="E19" s="36">
        <f>IFERROR(SUMIFS(Log!$L$5:$L$400,Log!$C$5:$C$400,14),0)</f>
        <v/>
      </c>
      <c r="F19" s="5" t="inlineStr">
        <is>
          <t>8 km</t>
        </is>
      </c>
      <c r="G19" s="7" t="inlineStr">
        <is>
          <t>Edmonton. Holiday gym hours — check before planning.</t>
        </is>
      </c>
    </row>
    <row r="20">
      <c r="A20" s="5" t="inlineStr">
        <is>
          <t>Week 15</t>
        </is>
      </c>
      <c r="B20" s="5" t="inlineStr">
        <is>
          <t>Dec 28–31</t>
        </is>
      </c>
      <c r="C20" s="5" t="inlineStr">
        <is>
          <t>2</t>
        </is>
      </c>
      <c r="D20" s="5" t="inlineStr">
        <is>
          <t>13 km</t>
        </is>
      </c>
      <c r="E20" s="36">
        <f>IFERROR(SUMIFS(Log!$L$5:$L$400,Log!$C$5:$C$400,15),0)</f>
        <v/>
      </c>
      <c r="F20" s="5" t="inlineStr">
        <is>
          <t>8 km</t>
        </is>
      </c>
      <c r="G20" s="7" t="inlineStr">
        <is>
          <t>Close the block. Carry a run base into January, do not rebuild it.</t>
        </is>
      </c>
    </row>
    <row r="22">
      <c r="A22" s="30" t="inlineStr">
        <is>
          <t>Lower-leg protocol — the non-negotiables</t>
        </is>
      </c>
    </row>
    <row r="23">
      <c r="A23" s="3" t="inlineStr">
        <is>
          <t>Rule</t>
        </is>
      </c>
    </row>
    <row r="24">
      <c r="A24" s="7" t="inlineStr">
        <is>
          <t>Soleus is the shin-splint muscle: bent-knee calf raises matter more than straight-leg ones. Both are in every strength session.</t>
        </is>
      </c>
    </row>
    <row r="25">
      <c r="A25" s="7" t="inlineStr">
        <is>
          <t>Tibialis raises, 3 × 20, directly load the anterior compartment — the CECS one. Never skip these.</t>
        </is>
      </c>
    </row>
    <row r="26">
      <c r="A26" s="7" t="inlineStr">
        <is>
          <t>Knee-to-wall ankle dorsiflexion test each Monday; target 10–12 cm. Losing range is an early warning.</t>
        </is>
      </c>
    </row>
    <row r="27">
      <c r="A27" s="7" t="inlineStr">
        <is>
          <t>Run cadence 175–180 spm. Higher cadence cuts tibial bone load at the same pace and is the cheapest injury insurance you have.</t>
        </is>
      </c>
    </row>
    <row r="28">
      <c r="A28" s="7" t="inlineStr">
        <is>
          <t>Surface priority: track &gt; soft trail &gt; gravel path &gt; pavement. Pavement is the 25% trigger, so treat it as the exception.</t>
        </is>
      </c>
    </row>
    <row r="29">
      <c r="A29" s="7" t="inlineStr">
        <is>
          <t>Never raise weekly run volume and the long run in the same week.</t>
        </is>
      </c>
    </row>
    <row r="30">
      <c r="A30" s="7" t="inlineStr">
        <is>
          <t>Two-day rule: tightness that is still there 48 h after a run means the next run is cut, not pushed.</t>
        </is>
      </c>
    </row>
    <row r="31">
      <c r="A31" s="7" t="inlineStr">
        <is>
          <t>Do not stretch aggressively into compartment pain — for CECS that makes it worse, not better.</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5"/>
  <sheetViews>
    <sheetView showGridLines="0" workbookViewId="0">
      <selection activeCell="A1" sqref="A1"/>
    </sheetView>
  </sheetViews>
  <sheetFormatPr baseColWidth="8" defaultRowHeight="15"/>
  <cols>
    <col width="46"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c r="A1" s="1" t="inlineStr">
        <is>
          <t>Strength templates + load log</t>
        </is>
      </c>
    </row>
    <row r="2">
      <c r="A2" s="2" t="inlineStr">
        <is>
          <t>Log the weight you actually used so progression is visible.</t>
        </is>
      </c>
    </row>
    <row r="4">
      <c r="A4" s="30" t="inlineStr">
        <is>
          <t>Strength A — RDL + posterior chain</t>
        </is>
      </c>
    </row>
    <row r="5">
      <c r="A5" s="2" t="inlineStr">
        <is>
          <t>Hamstrings, glutes, soleus, anti-rotation core.</t>
        </is>
      </c>
    </row>
    <row r="6">
      <c r="A6" s="3" t="inlineStr">
        <is>
          <t>Exercise</t>
        </is>
      </c>
      <c r="B6" s="3" t="inlineStr">
        <is>
          <t>W1</t>
        </is>
      </c>
      <c r="C6" s="3" t="inlineStr">
        <is>
          <t>W2</t>
        </is>
      </c>
      <c r="D6" s="3" t="inlineStr">
        <is>
          <t>W3</t>
        </is>
      </c>
      <c r="E6" s="3" t="inlineStr">
        <is>
          <t>W4</t>
        </is>
      </c>
      <c r="F6" s="3" t="inlineStr">
        <is>
          <t>W5</t>
        </is>
      </c>
      <c r="G6" s="3" t="inlineStr">
        <is>
          <t>W6</t>
        </is>
      </c>
      <c r="H6" s="3" t="inlineStr">
        <is>
          <t>W7</t>
        </is>
      </c>
      <c r="I6" s="3" t="inlineStr">
        <is>
          <t>W8</t>
        </is>
      </c>
      <c r="J6" s="3" t="inlineStr">
        <is>
          <t>W9</t>
        </is>
      </c>
      <c r="K6" s="3" t="inlineStr">
        <is>
          <t>W10</t>
        </is>
      </c>
      <c r="L6" s="3" t="inlineStr">
        <is>
          <t>W11</t>
        </is>
      </c>
      <c r="M6" s="3" t="inlineStr">
        <is>
          <t>W12</t>
        </is>
      </c>
      <c r="N6" s="3" t="inlineStr">
        <is>
          <t>W13</t>
        </is>
      </c>
      <c r="O6" s="3" t="inlineStr">
        <is>
          <t>W14</t>
        </is>
      </c>
      <c r="P6" s="3" t="inlineStr">
        <is>
          <t>W15</t>
        </is>
      </c>
    </row>
    <row r="7">
      <c r="A7" s="7" t="inlineStr">
        <is>
          <t>Barbell Romanian deadlift — 4 × 6–8, 3 s eccentric</t>
        </is>
      </c>
      <c r="B7" s="37" t="n"/>
      <c r="C7" s="37" t="n"/>
      <c r="D7" s="37" t="n"/>
      <c r="E7" s="37" t="n"/>
      <c r="F7" s="37" t="n"/>
      <c r="G7" s="37" t="n"/>
      <c r="H7" s="37" t="n"/>
      <c r="I7" s="37" t="n"/>
      <c r="J7" s="37" t="n"/>
      <c r="K7" s="37" t="n"/>
      <c r="L7" s="37" t="n"/>
      <c r="M7" s="37" t="n"/>
      <c r="N7" s="37" t="n"/>
      <c r="O7" s="37" t="n"/>
      <c r="P7" s="37" t="n"/>
    </row>
    <row r="8">
      <c r="A8" s="7" t="inlineStr">
        <is>
          <t>Smith Bulgarian split squat — 3 × 8 per leg</t>
        </is>
      </c>
      <c r="B8" s="37" t="n"/>
      <c r="C8" s="37" t="n"/>
      <c r="D8" s="37" t="n"/>
      <c r="E8" s="37" t="n"/>
      <c r="F8" s="37" t="n"/>
      <c r="G8" s="37" t="n"/>
      <c r="H8" s="37" t="n"/>
      <c r="I8" s="37" t="n"/>
      <c r="J8" s="37" t="n"/>
      <c r="K8" s="37" t="n"/>
      <c r="L8" s="37" t="n"/>
      <c r="M8" s="37" t="n"/>
      <c r="N8" s="37" t="n"/>
      <c r="O8" s="37" t="n"/>
      <c r="P8" s="37" t="n"/>
    </row>
    <row r="9">
      <c r="A9" s="7" t="inlineStr">
        <is>
          <t>Hamstring curl — 3 × 12</t>
        </is>
      </c>
      <c r="B9" s="37" t="n"/>
      <c r="C9" s="37" t="n"/>
      <c r="D9" s="37" t="n"/>
      <c r="E9" s="37" t="n"/>
      <c r="F9" s="37" t="n"/>
      <c r="G9" s="37" t="n"/>
      <c r="H9" s="37" t="n"/>
      <c r="I9" s="37" t="n"/>
      <c r="J9" s="37" t="n"/>
      <c r="K9" s="37" t="n"/>
      <c r="L9" s="37" t="n"/>
      <c r="M9" s="37" t="n"/>
      <c r="N9" s="37" t="n"/>
      <c r="O9" s="37" t="n"/>
      <c r="P9" s="37" t="n"/>
    </row>
    <row r="10">
      <c r="A10" s="7" t="inlineStr">
        <is>
          <t>Standing calf raise (straight leg) — 4 × 12, 3 s down</t>
        </is>
      </c>
      <c r="B10" s="37" t="n"/>
      <c r="C10" s="37" t="n"/>
      <c r="D10" s="37" t="n"/>
      <c r="E10" s="37" t="n"/>
      <c r="F10" s="37" t="n"/>
      <c r="G10" s="37" t="n"/>
      <c r="H10" s="37" t="n"/>
      <c r="I10" s="37" t="n"/>
      <c r="J10" s="37" t="n"/>
      <c r="K10" s="37" t="n"/>
      <c r="L10" s="37" t="n"/>
      <c r="M10" s="37" t="n"/>
      <c r="N10" s="37" t="n"/>
      <c r="O10" s="37" t="n"/>
      <c r="P10" s="37" t="n"/>
    </row>
    <row r="11">
      <c r="A11" s="7" t="inlineStr">
        <is>
          <t>Tibialis raise — 3 × 20</t>
        </is>
      </c>
      <c r="B11" s="37" t="n"/>
      <c r="C11" s="37" t="n"/>
      <c r="D11" s="37" t="n"/>
      <c r="E11" s="37" t="n"/>
      <c r="F11" s="37" t="n"/>
      <c r="G11" s="37" t="n"/>
      <c r="H11" s="37" t="n"/>
      <c r="I11" s="37" t="n"/>
      <c r="J11" s="37" t="n"/>
      <c r="K11" s="37" t="n"/>
      <c r="L11" s="37" t="n"/>
      <c r="M11" s="37" t="n"/>
      <c r="N11" s="37" t="n"/>
      <c r="O11" s="37" t="n"/>
      <c r="P11" s="37" t="n"/>
    </row>
    <row r="12">
      <c r="A12" s="7" t="inlineStr">
        <is>
          <t>Pallof press — 3 × 12 per side</t>
        </is>
      </c>
      <c r="B12" s="37" t="n"/>
      <c r="C12" s="37" t="n"/>
      <c r="D12" s="37" t="n"/>
      <c r="E12" s="37" t="n"/>
      <c r="F12" s="37" t="n"/>
      <c r="G12" s="37" t="n"/>
      <c r="H12" s="37" t="n"/>
      <c r="I12" s="37" t="n"/>
      <c r="J12" s="37" t="n"/>
      <c r="K12" s="37" t="n"/>
      <c r="L12" s="37" t="n"/>
      <c r="M12" s="37" t="n"/>
      <c r="N12" s="37" t="n"/>
      <c r="O12" s="37" t="n"/>
      <c r="P12" s="37" t="n"/>
    </row>
    <row r="13">
      <c r="A13" s="7" t="inlineStr">
        <is>
          <t>Dead bug — 3 × 10 per side</t>
        </is>
      </c>
      <c r="B13" s="37" t="n"/>
      <c r="C13" s="37" t="n"/>
      <c r="D13" s="37" t="n"/>
      <c r="E13" s="37" t="n"/>
      <c r="F13" s="37" t="n"/>
      <c r="G13" s="37" t="n"/>
      <c r="H13" s="37" t="n"/>
      <c r="I13" s="37" t="n"/>
      <c r="J13" s="37" t="n"/>
      <c r="K13" s="37" t="n"/>
      <c r="L13" s="37" t="n"/>
      <c r="M13" s="37" t="n"/>
      <c r="N13" s="37" t="n"/>
      <c r="O13" s="37" t="n"/>
      <c r="P13" s="37" t="n"/>
    </row>
    <row r="16">
      <c r="A16" s="30" t="inlineStr">
        <is>
          <t>Strength B — Bulgarian split squat + hips and core</t>
        </is>
      </c>
    </row>
    <row r="17">
      <c r="A17" s="2" t="inlineStr">
        <is>
          <t>Single-leg strength, hip abductors, soleus, upper-body pull for the swim.</t>
        </is>
      </c>
    </row>
    <row r="18">
      <c r="A18" s="3" t="inlineStr">
        <is>
          <t>Exercise</t>
        </is>
      </c>
      <c r="B18" s="3" t="inlineStr">
        <is>
          <t>W1</t>
        </is>
      </c>
      <c r="C18" s="3" t="inlineStr">
        <is>
          <t>W2</t>
        </is>
      </c>
      <c r="D18" s="3" t="inlineStr">
        <is>
          <t>W3</t>
        </is>
      </c>
      <c r="E18" s="3" t="inlineStr">
        <is>
          <t>W4</t>
        </is>
      </c>
      <c r="F18" s="3" t="inlineStr">
        <is>
          <t>W5</t>
        </is>
      </c>
      <c r="G18" s="3" t="inlineStr">
        <is>
          <t>W6</t>
        </is>
      </c>
      <c r="H18" s="3" t="inlineStr">
        <is>
          <t>W7</t>
        </is>
      </c>
      <c r="I18" s="3" t="inlineStr">
        <is>
          <t>W8</t>
        </is>
      </c>
      <c r="J18" s="3" t="inlineStr">
        <is>
          <t>W9</t>
        </is>
      </c>
      <c r="K18" s="3" t="inlineStr">
        <is>
          <t>W10</t>
        </is>
      </c>
      <c r="L18" s="3" t="inlineStr">
        <is>
          <t>W11</t>
        </is>
      </c>
      <c r="M18" s="3" t="inlineStr">
        <is>
          <t>W12</t>
        </is>
      </c>
      <c r="N18" s="3" t="inlineStr">
        <is>
          <t>W13</t>
        </is>
      </c>
      <c r="O18" s="3" t="inlineStr">
        <is>
          <t>W14</t>
        </is>
      </c>
      <c r="P18" s="3" t="inlineStr">
        <is>
          <t>W15</t>
        </is>
      </c>
    </row>
    <row r="19">
      <c r="A19" s="7" t="inlineStr">
        <is>
          <t>Smith Bulgarian split squat — 4 × 8 per leg, heavier than Strength A</t>
        </is>
      </c>
      <c r="B19" s="37" t="n"/>
      <c r="C19" s="37" t="n"/>
      <c r="D19" s="37" t="n"/>
      <c r="E19" s="37" t="n"/>
      <c r="F19" s="37" t="n"/>
      <c r="G19" s="37" t="n"/>
      <c r="H19" s="37" t="n"/>
      <c r="I19" s="37" t="n"/>
      <c r="J19" s="37" t="n"/>
      <c r="K19" s="37" t="n"/>
      <c r="L19" s="37" t="n"/>
      <c r="M19" s="37" t="n"/>
      <c r="N19" s="37" t="n"/>
      <c r="O19" s="37" t="n"/>
      <c r="P19" s="37" t="n"/>
    </row>
    <row r="20">
      <c r="A20" s="7" t="inlineStr">
        <is>
          <t>Box step-up (18 in) — 3 × 10 per leg</t>
        </is>
      </c>
      <c r="B20" s="37" t="n"/>
      <c r="C20" s="37" t="n"/>
      <c r="D20" s="37" t="n"/>
      <c r="E20" s="37" t="n"/>
      <c r="F20" s="37" t="n"/>
      <c r="G20" s="37" t="n"/>
      <c r="H20" s="37" t="n"/>
      <c r="I20" s="37" t="n"/>
      <c r="J20" s="37" t="n"/>
      <c r="K20" s="37" t="n"/>
      <c r="L20" s="37" t="n"/>
      <c r="M20" s="37" t="n"/>
      <c r="N20" s="37" t="n"/>
      <c r="O20" s="37" t="n"/>
      <c r="P20" s="37" t="n"/>
    </row>
    <row r="21">
      <c r="A21" s="7" t="inlineStr">
        <is>
          <t>Seated calf raise (bent knee / soleus) — 4 × 15</t>
        </is>
      </c>
      <c r="B21" s="37" t="n"/>
      <c r="C21" s="37" t="n"/>
      <c r="D21" s="37" t="n"/>
      <c r="E21" s="37" t="n"/>
      <c r="F21" s="37" t="n"/>
      <c r="G21" s="37" t="n"/>
      <c r="H21" s="37" t="n"/>
      <c r="I21" s="37" t="n"/>
      <c r="J21" s="37" t="n"/>
      <c r="K21" s="37" t="n"/>
      <c r="L21" s="37" t="n"/>
      <c r="M21" s="37" t="n"/>
      <c r="N21" s="37" t="n"/>
      <c r="O21" s="37" t="n"/>
      <c r="P21" s="37" t="n"/>
    </row>
    <row r="22">
      <c r="A22" s="7" t="inlineStr">
        <is>
          <t>Copenhagen plank — 3 × 20–30 s per side</t>
        </is>
      </c>
      <c r="B22" s="37" t="n"/>
      <c r="C22" s="37" t="n"/>
      <c r="D22" s="37" t="n"/>
      <c r="E22" s="37" t="n"/>
      <c r="F22" s="37" t="n"/>
      <c r="G22" s="37" t="n"/>
      <c r="H22" s="37" t="n"/>
      <c r="I22" s="37" t="n"/>
      <c r="J22" s="37" t="n"/>
      <c r="K22" s="37" t="n"/>
      <c r="L22" s="37" t="n"/>
      <c r="M22" s="37" t="n"/>
      <c r="N22" s="37" t="n"/>
      <c r="O22" s="37" t="n"/>
      <c r="P22" s="37" t="n"/>
    </row>
    <row r="23">
      <c r="A23" s="7" t="inlineStr">
        <is>
          <t>Banded lateral walk — 3 × 15 per side</t>
        </is>
      </c>
      <c r="B23" s="37" t="n"/>
      <c r="C23" s="37" t="n"/>
      <c r="D23" s="37" t="n"/>
      <c r="E23" s="37" t="n"/>
      <c r="F23" s="37" t="n"/>
      <c r="G23" s="37" t="n"/>
      <c r="H23" s="37" t="n"/>
      <c r="I23" s="37" t="n"/>
      <c r="J23" s="37" t="n"/>
      <c r="K23" s="37" t="n"/>
      <c r="L23" s="37" t="n"/>
      <c r="M23" s="37" t="n"/>
      <c r="N23" s="37" t="n"/>
      <c r="O23" s="37" t="n"/>
      <c r="P23" s="37" t="n"/>
    </row>
    <row r="24">
      <c r="A24" s="7" t="inlineStr">
        <is>
          <t>Side plank with hip abduction — 3 × 10 per side</t>
        </is>
      </c>
      <c r="B24" s="37" t="n"/>
      <c r="C24" s="37" t="n"/>
      <c r="D24" s="37" t="n"/>
      <c r="E24" s="37" t="n"/>
      <c r="F24" s="37" t="n"/>
      <c r="G24" s="37" t="n"/>
      <c r="H24" s="37" t="n"/>
      <c r="I24" s="37" t="n"/>
      <c r="J24" s="37" t="n"/>
      <c r="K24" s="37" t="n"/>
      <c r="L24" s="37" t="n"/>
      <c r="M24" s="37" t="n"/>
      <c r="N24" s="37" t="n"/>
      <c r="O24" s="37" t="n"/>
      <c r="P24" s="37" t="n"/>
    </row>
    <row r="25">
      <c r="A25" s="7" t="inlineStr">
        <is>
          <t>Weighted pull-up or lat pulldown — 3 × 8</t>
        </is>
      </c>
      <c r="B25" s="37" t="n"/>
      <c r="C25" s="37" t="n"/>
      <c r="D25" s="37" t="n"/>
      <c r="E25" s="37" t="n"/>
      <c r="F25" s="37" t="n"/>
      <c r="G25" s="37" t="n"/>
      <c r="H25" s="37" t="n"/>
      <c r="I25" s="37" t="n"/>
      <c r="J25" s="37" t="n"/>
      <c r="K25" s="37" t="n"/>
      <c r="L25" s="37" t="n"/>
      <c r="M25" s="37" t="n"/>
      <c r="N25" s="37" t="n"/>
      <c r="O25" s="37" t="n"/>
      <c r="P25" s="37"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22" customWidth="1" min="1" max="1"/>
    <col width="26" customWidth="1" min="2" max="2"/>
    <col width="86" customWidth="1" min="3" max="3"/>
    <col width="20" customWidth="1" min="4" max="4"/>
    <col width="20" customWidth="1" min="5" max="5"/>
  </cols>
  <sheetData>
    <row r="1">
      <c r="A1" s="1" t="inlineStr">
        <is>
          <t>Reference</t>
        </is>
      </c>
    </row>
    <row r="2">
      <c r="A2" s="2" t="inlineStr">
        <is>
          <t>Phases, heart-rate zones, and what the block is for.</t>
        </is>
      </c>
    </row>
    <row r="4">
      <c r="A4" s="30" t="inlineStr">
        <is>
          <t>Phases</t>
        </is>
      </c>
    </row>
    <row r="5">
      <c r="A5" s="3" t="inlineStr">
        <is>
          <t>Dates</t>
        </is>
      </c>
      <c r="B5" s="3" t="inlineStr">
        <is>
          <t>Phase</t>
        </is>
      </c>
      <c r="C5" s="3" t="inlineStr">
        <is>
          <t>What it is for</t>
        </is>
      </c>
    </row>
    <row r="6">
      <c r="A6" s="5" t="inlineStr">
        <is>
          <t>Sep 21 – Oct 11</t>
        </is>
      </c>
      <c r="B6" s="5" t="inlineStr">
        <is>
          <t>Reset + measure</t>
        </is>
      </c>
      <c r="C6" s="7" t="inlineStr">
        <is>
          <t>Establish the 4-swim week and the send-off habit. Test CSS and FTP so the rest of the block has real numbers. Running stays at one run per week until the orthotics land — this is the non-negotiable part.</t>
        </is>
      </c>
    </row>
    <row r="7">
      <c r="A7" s="5" t="inlineStr">
        <is>
          <t>Oct 12 – Nov 8</t>
        </is>
      </c>
      <c r="B7" s="5" t="inlineStr">
        <is>
          <t>Build I — swim volume, run ramp</t>
        </is>
      </c>
      <c r="C7" s="7" t="inlineStr">
        <is>
          <t>Orthotics in: running goes to two, then three sessions a week at roughly +10%/wk. Swim threshold volume climbs. The New York week is absorbed as a run-led travel block with swims front-loaded in Seattle before the flight and back-loaded after the return.</t>
        </is>
      </c>
    </row>
    <row r="8">
      <c r="A8" s="5" t="inlineStr">
        <is>
          <t>Nov 9 – Dec 6</t>
        </is>
      </c>
      <c r="B8" s="5" t="inlineStr">
        <is>
          <t>Build II — peak swim, race specificity</t>
        </is>
      </c>
      <c r="C8" s="7" t="inlineStr">
        <is>
          <t>Highest swim volume of the block and the retest of CSS. Running adds short 5-mile-pace work, peaks with a 10 km long run, then takes a short run-only taper into the Dec 5 race. Swimming does not taper.</t>
        </is>
      </c>
    </row>
    <row r="9">
      <c r="A9" s="5" t="inlineStr">
        <is>
          <t>Dec 7 – Dec 20</t>
        </is>
      </c>
      <c r="B9" s="5" t="inlineStr">
        <is>
          <t>Travel maintenance</t>
        </is>
      </c>
      <c r="C9" s="7" t="inlineStr">
        <is>
          <t>Florida and North Carolina. Swims are front-loaded in Seattle Mon–Wed to protect the 6,000 yd streak, then the trip is run- and bodyweight-led until the North Carolina gym restores a normal week.</t>
        </is>
      </c>
    </row>
    <row r="10">
      <c r="A10" s="5" t="inlineStr">
        <is>
          <t>Dec 21 – Dec 31</t>
        </is>
      </c>
      <c r="B10" s="5" t="inlineStr">
        <is>
          <t>Winter base → January on-ramp</t>
        </is>
      </c>
      <c r="C10" s="7" t="inlineStr">
        <is>
          <t>Edmonton with full gym access. Rebuild the rhythm, close the block with a final CSS test, and hand a clean aerobic base to the Victoria 70.3 build.</t>
        </is>
      </c>
    </row>
    <row r="12">
      <c r="A12" s="30" t="inlineStr">
        <is>
          <t>Heart-rate zones</t>
        </is>
      </c>
    </row>
    <row r="13">
      <c r="A13" s="3" t="inlineStr">
        <is>
          <t>Zone</t>
        </is>
      </c>
      <c r="B13" s="3" t="inlineStr">
        <is>
          <t>Range</t>
        </is>
      </c>
      <c r="C13" s="3" t="inlineStr">
        <is>
          <t>Use</t>
        </is>
      </c>
    </row>
    <row r="14">
      <c r="A14" s="5" t="inlineStr">
        <is>
          <t>Run — easy</t>
        </is>
      </c>
      <c r="B14" s="5" t="inlineStr">
        <is>
          <t>140–152 bpm</t>
        </is>
      </c>
      <c r="C14" s="7" t="inlineStr">
        <is>
          <t>Every easy run lives here. If it drifts above, walk it back.</t>
        </is>
      </c>
    </row>
    <row r="15">
      <c r="A15" s="5" t="inlineStr">
        <is>
          <t>Run — steady / tempo</t>
        </is>
      </c>
      <c r="B15" s="5" t="inlineStr">
        <is>
          <t>158–168 bpm</t>
        </is>
      </c>
      <c r="C15" s="7" t="inlineStr">
        <is>
          <t>Thursday quality only, and never for long early in the block.</t>
        </is>
      </c>
    </row>
    <row r="16">
      <c r="A16" s="5" t="inlineStr">
        <is>
          <t>Bike — Z2 endurance</t>
        </is>
      </c>
      <c r="B16" s="5" t="inlineStr">
        <is>
          <t>130–145 bpm</t>
        </is>
      </c>
      <c r="C16" s="7" t="inlineStr">
        <is>
          <t>Matches the Sep 17 outdoor ride (136 bpm avg). The default bike pace.</t>
        </is>
      </c>
    </row>
    <row r="17">
      <c r="A17" s="5" t="inlineStr">
        <is>
          <t>Bike — threshold</t>
        </is>
      </c>
      <c r="B17" s="5" t="inlineStr">
        <is>
          <t>155–165 bpm</t>
        </is>
      </c>
      <c r="C17" s="7" t="inlineStr">
        <is>
          <t>Spin-bike intervals. Pair with watts once the Week 2 FTP test is done.</t>
        </is>
      </c>
    </row>
    <row r="19">
      <c r="A19" s="30" t="inlineStr">
        <is>
          <t>Block at a glance</t>
        </is>
      </c>
    </row>
    <row r="20">
      <c r="A20" s="3" t="inlineStr">
        <is>
          <t>Metric</t>
        </is>
      </c>
      <c r="B20" s="3" t="inlineStr">
        <is>
          <t>Value</t>
        </is>
      </c>
    </row>
    <row r="21">
      <c r="A21" s="7" t="inlineStr">
        <is>
          <t>Block focus</t>
        </is>
      </c>
      <c r="B21" s="5" t="inlineStr">
        <is>
          <t>Swim engine</t>
        </is>
      </c>
    </row>
    <row r="22">
      <c r="A22" s="7" t="inlineStr">
        <is>
          <t>Race</t>
        </is>
      </c>
      <c r="B22" s="5" t="inlineStr">
        <is>
          <t>5 mile</t>
        </is>
      </c>
    </row>
    <row r="23">
      <c r="A23" s="7" t="inlineStr">
        <is>
          <t>Lower-leg rule</t>
        </is>
      </c>
      <c r="B23" s="5" t="inlineStr">
        <is>
          <t>1 run/wk</t>
        </is>
      </c>
    </row>
    <row r="24">
      <c r="A24" s="7" t="inlineStr">
        <is>
          <t>Next block</t>
        </is>
      </c>
      <c r="B24" s="5" t="inlineStr">
        <is>
          <t>70.3 prep</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2026-09-18T19:15:56Z</dcterms:created>
  <dcterms:modified xmlns:dcterms="http://purl.org/dc/terms/" xmlns:xsi="http://www.w3.org/2001/XMLSchema-instance" xsi:type="dcterms:W3CDTF">2026-09-18T19:15:56Z</dcterms:modified>
</cp:coreProperties>
</file>